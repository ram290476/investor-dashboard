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Sources" sheetId="1" state="visible" r:id="rId3"/>
    <sheet name="Cost Summary" sheetId="2" state="visible" r:id="rId4"/>
    <sheet name="Batch Schedule" sheetId="3" state="visible" r:id="rId5"/>
    <sheet name="Holiday Calendar" sheetId="4" state="visible" r:id="rId6"/>
    <sheet name="Release Calendar" sheetId="5" state="visible" r:id="rId7"/>
    <sheet name="Series IDs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<sst xmlns="http://schemas.openxmlformats.org/spreadsheetml/2006/main" count="2803" uniqueCount="1185">
  <si>
    <t xml:space="preserve">ID</t>
  </si>
  <si>
    <t xml:space="preserve">Cadence</t>
  </si>
  <si>
    <t xml:space="preserve">Batch Job</t>
  </si>
  <si>
    <t xml:space="preserve">Run Time (ET)</t>
  </si>
  <si>
    <t xml:space="preserve">Run Time (PT)</t>
  </si>
  <si>
    <t xml:space="preserve">Calls / Run</t>
  </si>
  <si>
    <t xml:space="preserve">Runs / Month</t>
  </si>
  <si>
    <t xml:space="preserve">Calls / Month</t>
  </si>
  <si>
    <t xml:space="preserve">Priority</t>
  </si>
  <si>
    <t xml:space="preserve">Current Cost ($/mo)</t>
  </si>
  <si>
    <t xml:space="preserve">Paid Plan (if needed)</t>
  </si>
  <si>
    <t xml:space="preserve">Paid Plan Cost ($/mo)</t>
  </si>
  <si>
    <t xml:space="preserve">Likelihood of Paying</t>
  </si>
  <si>
    <t xml:space="preserve">Likelihood Band</t>
  </si>
  <si>
    <t xml:space="preserve">Expected Cost ($/mo)</t>
  </si>
  <si>
    <t xml:space="preserve">Cost Trigger</t>
  </si>
  <si>
    <t xml:space="preserve">Category</t>
  </si>
  <si>
    <t xml:space="preserve">Data Item</t>
  </si>
  <si>
    <t xml:space="preserve">Source</t>
  </si>
  <si>
    <t xml:space="preserve">Access Type</t>
  </si>
  <si>
    <t xml:space="preserve">Endpoint / URL</t>
  </si>
  <si>
    <t xml:space="preserve">Example Params / Notes on Call</t>
  </si>
  <si>
    <t xml:space="preserve">Auth</t>
  </si>
  <si>
    <t xml:space="preserve">Cost / Limits</t>
  </si>
  <si>
    <t xml:space="preserve">Format</t>
  </si>
  <si>
    <t xml:space="preserve">Role</t>
  </si>
  <si>
    <t xml:space="preserve">Notes</t>
  </si>
  <si>
    <t xml:space="preserve">Schedule Note</t>
  </si>
  <si>
    <t xml:space="preserve">Holiday Calendar</t>
  </si>
  <si>
    <t xml:space="preserve">DS-02</t>
  </si>
  <si>
    <t xml:space="preserve">Hourly</t>
  </si>
  <si>
    <t xml:space="preserve">H1</t>
  </si>
  <si>
    <t xml:space="preserve">Hourly at :05, 10:05–16:05 (early-close days: 10:05–13:05)</t>
  </si>
  <si>
    <t xml:space="preserve">Hourly at :05, 07:05–13:05 (early-close days: 07:05–10:05)</t>
  </si>
  <si>
    <t xml:space="preserve">P1</t>
  </si>
  <si>
    <t xml:space="preserve">Not used – free tier only ($0 data budget)</t>
  </si>
  <si>
    <t xml:space="preserve">Use free IEX feed; full-market volume not required for hourly trend</t>
  </si>
  <si>
    <t xml:space="preserve">Stock price</t>
  </si>
  <si>
    <t xml:space="preserve">Hourly bars: TSLA, SPCX + index/sector ETF proxies (SPY, DIA, QQQ, IWM, XLY, ITA, SMH) + any user-added tickers (primary)</t>
  </si>
  <si>
    <t xml:space="preserve">Alpaca Market Data</t>
  </si>
  <si>
    <t xml:space="preserve">REST</t>
  </si>
  <si>
    <t xml:space="preserve">https://data.alpaca.markets/v2/stocks/bars?symbols=TSLA,SPCX,SPY,DIA,QQQ,IWM,XLY,ITA,SMH&amp;timeframe=1Hour&amp;feed=iex</t>
  </si>
  <si>
    <t xml:space="preserve">Both tickers in one call; snapshots: /v2/stocks/snapshots?symbols=TSLA,SPCX</t>
  </si>
  <si>
    <t xml:space="preserve">API key + secret (free account)</t>
  </si>
  <si>
    <t xml:space="preserve">Free Basic plan (IEX feed, 200 calls/min)</t>
  </si>
  <si>
    <t xml:space="preserve">JSON</t>
  </si>
  <si>
    <t xml:space="preserve">Primary</t>
  </si>
  <si>
    <t xml:space="preserve">FREE-TIER IMPACT: now the primary price source; ETF proxies ride in the same call (still 1 call/run). Prices match the consolidated tape closely; volume is IEX-only (a small share of total volume), so volume charts show trend, not true totals. No real-time SIP feed.</t>
  </si>
  <si>
    <t xml:space="preserve">Primary: one multi-symbol call returns hourly bars for TSLA, SPCX and the 7 ETF proxies (union of all users' tickers)</t>
  </si>
  <si>
    <t xml:space="preserve">US-MKT (NYSE trading days)</t>
  </si>
  <si>
    <t xml:space="preserve">DS-35</t>
  </si>
  <si>
    <t xml:space="preserve">H2</t>
  </si>
  <si>
    <t xml:space="preserve">Hourly at :15, 24 runs</t>
  </si>
  <si>
    <t xml:space="preserve">P2</t>
  </si>
  <si>
    <t xml:space="preserve">Free – no paid plan needed</t>
  </si>
  <si>
    <t xml:space="preserve">Geopolitical</t>
  </si>
  <si>
    <t xml:space="preserve">Global news events, tone, themes</t>
  </si>
  <si>
    <t xml:space="preserve">GDELT DOC 2.0 API</t>
  </si>
  <si>
    <t xml:space="preserve">https://api.gdeltproject.org/api/v2/doc/doc?query=(tariff OR sanctions OR Taiwan) sourcelang:english&amp;mode=artlist&amp;format=json&amp;timespan=1h</t>
  </si>
  <si>
    <t xml:space="preserve">mode=timelinetone for sentiment trend</t>
  </si>
  <si>
    <t xml:space="preserve">None</t>
  </si>
  <si>
    <t xml:space="preserve">Free</t>
  </si>
  <si>
    <t xml:space="preserve">Updates every 15 min; noisy, needs filtering</t>
  </si>
  <si>
    <t xml:space="preserve">One combined query (tariff OR sanctions OR Taiwan OR ...)</t>
  </si>
  <si>
    <t xml:space="preserve">DS-40</t>
  </si>
  <si>
    <t xml:space="preserve">Hourly at :15, 06:15–21:15 only (16 runs)</t>
  </si>
  <si>
    <t xml:space="preserve">Hourly at :15, 03:15–18:15 only (16 runs)</t>
  </si>
  <si>
    <t xml:space="preserve">Stay on free 25 calls/day: news polling capped at 16 calls/day</t>
  </si>
  <si>
    <t xml:space="preserve">Financial news</t>
  </si>
  <si>
    <t xml:space="preserve">Ticker news + sentiment (union of all users' tickers, rotated)</t>
  </si>
  <si>
    <t xml:space="preserve">Alpha Vantage NEWS_SENTIMENT</t>
  </si>
  <si>
    <t xml:space="preserve">https://www.alphavantage.co/query?function=NEWS_SENTIMENT&amp;tickers={TICKER}&amp;apikey={KEY}</t>
  </si>
  <si>
    <t xml:space="preserve">One ticker per call (multiple tickers narrow results to articles mentioning all of them); rotation e.g. TSLA, SPCX, TSLA, SPCX… then user-added tickers</t>
  </si>
  <si>
    <t xml:space="preserve">API key</t>
  </si>
  <si>
    <t xml:space="preserve">Free 25 calls/day (capped at 16/day by schedule)</t>
  </si>
  <si>
    <t xml:space="preserve">FREE-TIER IMPACT: capped at 16 calls/day (06:15–21:15 ET) to stay under the free 25/day. Collectors read the union of all users' tickers but sentiment rotates one ticker per call (fixed list or rotation), so each ticker refreshes every few hours, not hourly; no overnight updates.</t>
  </si>
  <si>
    <t xml:space="preserve">One ticker per run from a fixed rotation over the union of users' tickers; hard cap 16/day (free limit 25)</t>
  </si>
  <si>
    <t xml:space="preserve">DS-41</t>
  </si>
  <si>
    <t xml:space="preserve">Company news</t>
  </si>
  <si>
    <t xml:space="preserve">Finnhub</t>
  </si>
  <si>
    <t xml:space="preserve">https://finnhub.io/api/v1/company-news?symbol=TSLA&amp;from={d}&amp;to={d}&amp;token={KEY}</t>
  </si>
  <si>
    <t xml:space="preserve">General: /news?category=general</t>
  </si>
  <si>
    <t xml:space="preserve">TSLA + SPCX; also covers DS-78</t>
  </si>
  <si>
    <t xml:space="preserve">DS-44</t>
  </si>
  <si>
    <t xml:space="preserve">Headline RSS</t>
  </si>
  <si>
    <t xml:space="preserve">Google News RSS</t>
  </si>
  <si>
    <t xml:space="preserve">RSS</t>
  </si>
  <si>
    <t xml:space="preserve">https://news.google.com/rss/search?q=Tesla+stock&amp;hl=en-US&amp;gl=US&amp;ceid=US:en</t>
  </si>
  <si>
    <t xml:space="preserve">Separate feeds for SpaceX, Fed, tariffs</t>
  </si>
  <si>
    <t xml:space="preserve">RSS XML</t>
  </si>
  <si>
    <t xml:space="preserve">Fallback</t>
  </si>
  <si>
    <t xml:space="preserve">No sentiment; aggregator links</t>
  </si>
  <si>
    <t xml:space="preserve">3 queries: Tesla, SpaceX/Starlink/Starship, Robotaxi/Cybercab; also covers DS-79</t>
  </si>
  <si>
    <t xml:space="preserve">DS-77</t>
  </si>
  <si>
    <t xml:space="preserve">SpaceX news</t>
  </si>
  <si>
    <t xml:space="preserve">Space-industry articles &amp; reports linked to launches</t>
  </si>
  <si>
    <t xml:space="preserve">Spaceflight News API (SNAPI) v4</t>
  </si>
  <si>
    <t xml:space="preserve">https://api.spaceflightnewsapi.net/v4/articles/?search=SpaceX&amp;ordering=-published_at</t>
  </si>
  <si>
    <t xml:space="preserve">Also /v4/reports/, /v4/blogs/; filter launch=&lt;LL2 launch id&gt;</t>
  </si>
  <si>
    <t xml:space="preserve">Same org as Launch Library 2, IDs link across</t>
  </si>
  <si>
    <t xml:space="preserve">DS-06</t>
  </si>
  <si>
    <t xml:space="preserve">H3</t>
  </si>
  <si>
    <t xml:space="preserve">Hourly at :25, 06:25–22:25</t>
  </si>
  <si>
    <t xml:space="preserve">Hourly at :25, 03:25–19:25</t>
  </si>
  <si>
    <t xml:space="preserve">SpaceX valuation / listing</t>
  </si>
  <si>
    <t xml:space="preserve">SPCX listing details, share count, lock-up, filings</t>
  </si>
  <si>
    <t xml:space="preserve">SEC EDGAR (company_tickers + submissions)</t>
  </si>
  <si>
    <t xml:space="preserve">https://www.sec.gov/files/company_tickers.json  -&gt;  https://data.sec.gov/submissions/CIK{10-digit CIK}.json</t>
  </si>
  <si>
    <t xml:space="preserve">Resolve SPCX CIK from company_tickers.json; S-1/424B4 prospectus, Form 4 insider trades, 13D/G</t>
  </si>
  <si>
    <t xml:space="preserve">None (User-Agent header with email required)</t>
  </si>
  <si>
    <t xml:space="preserve">SpaceX listed on Nasdaq as SPCX on 12 Jun 2026; track lock-up expiry dates from prospectus</t>
  </si>
  <si>
    <t xml:space="preserve">One EDGAR submissions call for SPCX catches new 8-K, Form 4, 10-Q</t>
  </si>
  <si>
    <t xml:space="preserve">US-FED (US federal business days)</t>
  </si>
  <si>
    <t xml:space="preserve">DS-08</t>
  </si>
  <si>
    <t xml:space="preserve">Free 15 calls/hour; we use 1/hour</t>
  </si>
  <si>
    <t xml:space="preserve">SpaceX operations</t>
  </si>
  <si>
    <t xml:space="preserve">Launch schedule &amp; outcomes (Starship, Falcon, Starlink)</t>
  </si>
  <si>
    <t xml:space="preserve">The Space Devs – Launch Library 2</t>
  </si>
  <si>
    <t xml:space="preserve">https://ll.thespacedevs.com/2.3.0/launches/upcoming/?lsp__name=SpaceX</t>
  </si>
  <si>
    <t xml:space="preserve">Also /launches/previous/; dev mirror lldev.thespacedevs.com for testing</t>
  </si>
  <si>
    <t xml:space="preserve">None (key for higher limits)</t>
  </si>
  <si>
    <t xml:space="preserve">Free 15 req/hr; Patreon tiers</t>
  </si>
  <si>
    <t xml:space="preserve">FREE-TIER IMPACT: none – free 15 calls/hour; schedule uses 1/hour.</t>
  </si>
  <si>
    <t xml:space="preserve">One call returns all upcoming SpaceX launches</t>
  </si>
  <si>
    <t xml:space="preserve">DS-09</t>
  </si>
  <si>
    <t xml:space="preserve">P3</t>
  </si>
  <si>
    <t xml:space="preserve">Company updates</t>
  </si>
  <si>
    <t xml:space="preserve">SpaceX website</t>
  </si>
  <si>
    <t xml:space="preserve">Web</t>
  </si>
  <si>
    <t xml:space="preserve">https://www.spacex.com/updates/</t>
  </si>
  <si>
    <t xml:space="preserve">Scrape/monitor for new posts</t>
  </si>
  <si>
    <t xml:space="preserve">HTML</t>
  </si>
  <si>
    <t xml:space="preserve">Secondary</t>
  </si>
  <si>
    <t xml:space="preserve">DS-10</t>
  </si>
  <si>
    <t xml:space="preserve">Tesla fundamentals</t>
  </si>
  <si>
    <t xml:space="preserve">Filings: 10-Q, 10-K, 8-K, Form 4</t>
  </si>
  <si>
    <t xml:space="preserve">SEC EDGAR</t>
  </si>
  <si>
    <t xml:space="preserve">REST + Atom</t>
  </si>
  <si>
    <t xml:space="preserve">https://data.sec.gov/submissions/CIK0001318605.json</t>
  </si>
  <si>
    <t xml:space="preserve">Atom: https://www.sec.gov/cgi-bin/browse-edgar?action=getcompany&amp;CIK=0001318605&amp;type=8-K&amp;output=atom</t>
  </si>
  <si>
    <t xml:space="preserve">None (User-Agent header required)</t>
  </si>
  <si>
    <t xml:space="preserve">JSON / Atom XML</t>
  </si>
  <si>
    <t xml:space="preserve">Tesla CIK = 0001318605</t>
  </si>
  <si>
    <t xml:space="preserve">One EDGAR submissions call for TSLA</t>
  </si>
  <si>
    <t xml:space="preserve">DS-18</t>
  </si>
  <si>
    <t xml:space="preserve">Interest rates</t>
  </si>
  <si>
    <t xml:space="preserve">FOMC statements, minutes, press releases</t>
  </si>
  <si>
    <t xml:space="preserve">Federal Reserve</t>
  </si>
  <si>
    <t xml:space="preserve">https://www.federalreserve.gov/feeds/press_monetary.xml</t>
  </si>
  <si>
    <t xml:space="preserve">All releases: /feeds/press_all.xml; Speeches: /feeds/speeches.xml</t>
  </si>
  <si>
    <t xml:space="preserve">Decision released 2:00pm ET on meeting day</t>
  </si>
  <si>
    <t xml:space="preserve">Plus one extra run at 14:05 ET on FOMC decision days</t>
  </si>
  <si>
    <t xml:space="preserve">DS-27</t>
  </si>
  <si>
    <t xml:space="preserve">Tariffs</t>
  </si>
  <si>
    <t xml:space="preserve">Tariff rules, Section 301/232 notices, exclusions</t>
  </si>
  <si>
    <t xml:space="preserve">Federal Register API</t>
  </si>
  <si>
    <t xml:space="preserve">https://www.federalregister.gov/api/v1/documents.json?conditions[term]=tariff&amp;conditions[agencies][]=trade-representative-office-of-united-states&amp;order=newest</t>
  </si>
  <si>
    <t xml:space="preserve">Also agencies: international-trade-administration, industry-and-security-bureau, customs-and-border-protection</t>
  </si>
  <si>
    <t xml:space="preserve">Most structured source for legal tariff actions</t>
  </si>
  <si>
    <t xml:space="preserve">One query combines tariff terms + USTR/ITA/BIS/CBP agencies; also covers DS-49</t>
  </si>
  <si>
    <t xml:space="preserve">DS-28</t>
  </si>
  <si>
    <t xml:space="preserve">Presidential tariff proclamations &amp; executive orders</t>
  </si>
  <si>
    <t xml:space="preserve">White House</t>
  </si>
  <si>
    <t xml:space="preserve">https://www.whitehouse.gov/presidential-actions/</t>
  </si>
  <si>
    <t xml:space="preserve">Monitor for 'tariff', 'Section 232', 'IEEPA'</t>
  </si>
  <si>
    <t xml:space="preserve">Often appears before Federal Register publication</t>
  </si>
  <si>
    <t xml:space="preserve">DS-29</t>
  </si>
  <si>
    <t xml:space="preserve">USTR press releases (trade deals, Section 301)</t>
  </si>
  <si>
    <t xml:space="preserve">USTR</t>
  </si>
  <si>
    <t xml:space="preserve">https://ustr.gov/about-us/policy-offices/press-office/press-releases</t>
  </si>
  <si>
    <t xml:space="preserve">DS-72</t>
  </si>
  <si>
    <t xml:space="preserve">SpaceX contracts</t>
  </si>
  <si>
    <t xml:space="preserve">NASA contract awards (Artemis HLS, Crew/Cargo, launch services)</t>
  </si>
  <si>
    <t xml:space="preserve">NASA News Releases</t>
  </si>
  <si>
    <t xml:space="preserve">https://www.nasa.gov/news-release/feed/</t>
  </si>
  <si>
    <t xml:space="preserve">Filter titles for 'contract', 'SpaceX', 'award'</t>
  </si>
  <si>
    <t xml:space="preserve">DS-13</t>
  </si>
  <si>
    <t xml:space="preserve">Daily</t>
  </si>
  <si>
    <t xml:space="preserve">D1</t>
  </si>
  <si>
    <t xml:space="preserve">07:00</t>
  </si>
  <si>
    <t xml:space="preserve">04:00</t>
  </si>
  <si>
    <t xml:space="preserve">Earnings calendar</t>
  </si>
  <si>
    <t xml:space="preserve">TSLA &amp; SPCX earnings dates, EPS estimates</t>
  </si>
  <si>
    <t xml:space="preserve">https://finnhub.io/api/v1/calendar/earnings?symbol=TSLA&amp;from={d}&amp;to={d}&amp;token={KEY}</t>
  </si>
  <si>
    <t xml:space="preserve">Alt: Alpha Vantage function=EARNINGS_CALENDAR</t>
  </si>
  <si>
    <t xml:space="preserve">TSLA + SPCX</t>
  </si>
  <si>
    <t xml:space="preserve">DS-15</t>
  </si>
  <si>
    <t xml:space="preserve">Bond yields</t>
  </si>
  <si>
    <t xml:space="preserve">2Y, 10Y, 30Y yields; 10Y–2Y spread; real yields</t>
  </si>
  <si>
    <t xml:space="preserve">FRED (St. Louis Fed)</t>
  </si>
  <si>
    <t xml:space="preserve">https://api.stlouisfed.org/fred/series/observations?series_id=DGS10&amp;api_key={KEY}&amp;file_type=json</t>
  </si>
  <si>
    <t xml:space="preserve">series_id = DGS2, DGS10, DGS30, T10Y2Y, DFII10 (see Series IDs tab)</t>
  </si>
  <si>
    <t xml:space="preserve">API key (free)</t>
  </si>
  <si>
    <t xml:space="preserve">Simplest single API for all macro series</t>
  </si>
  <si>
    <t xml:space="preserve">DGS2, DGS10, DGS30, T10Y2Y, DFII10, T10YIE</t>
  </si>
  <si>
    <t xml:space="preserve">DS-16</t>
  </si>
  <si>
    <t xml:space="preserve">Fed funds target range (upper/lower), effective rate</t>
  </si>
  <si>
    <t xml:space="preserve">FRED</t>
  </si>
  <si>
    <t xml:space="preserve">https://api.stlouisfed.org/fred/series/observations?series_id=DFEDTARU&amp;api_key={KEY}&amp;file_type=json</t>
  </si>
  <si>
    <t xml:space="preserve">DFEDTARU, DFEDTARL, EFFR</t>
  </si>
  <si>
    <t xml:space="preserve">DS-26</t>
  </si>
  <si>
    <t xml:space="preserve">Economic calendar</t>
  </si>
  <si>
    <t xml:space="preserve">Release dates for any FRED series</t>
  </si>
  <si>
    <t xml:space="preserve">FRED Releases API</t>
  </si>
  <si>
    <t xml:space="preserve">https://api.stlouisfed.org/fred/releases/dates?api_key={KEY}&amp;file_type=json&amp;realtime_start={today}</t>
  </si>
  <si>
    <t xml:space="preserve">Backup</t>
  </si>
  <si>
    <t xml:space="preserve">FREE-TIER IMPACT: promoted to primary for release dates (CPI, PCE, jobs). Gives dates only – no consensus values.</t>
  </si>
  <si>
    <t xml:space="preserve">Source for release-day triggers (CPI, PCE) – replaces paid calendar</t>
  </si>
  <si>
    <t xml:space="preserve">DS-39</t>
  </si>
  <si>
    <t xml:space="preserve">Economic Policy Uncertainty index (daily)</t>
  </si>
  <si>
    <t xml:space="preserve">https://api.stlouisfed.org/fred/series/observations?series_id=USEPUINDXD&amp;api_key={KEY}&amp;file_type=json</t>
  </si>
  <si>
    <t xml:space="preserve">DS-45</t>
  </si>
  <si>
    <t xml:space="preserve">Market context</t>
  </si>
  <si>
    <t xml:space="preserve">VIX, US Dollar Index, WTI oil</t>
  </si>
  <si>
    <t xml:space="preserve">https://api.stlouisfed.org/fred/series/observations?series_id=VIXCLS&amp;api_key={KEY}&amp;file_type=json</t>
  </si>
  <si>
    <t xml:space="preserve">VIXCLS, DTWEXBGS, DCOILWTICO</t>
  </si>
  <si>
    <t xml:space="preserve">Optional</t>
  </si>
  <si>
    <t xml:space="preserve">Risk-sentiment overlays</t>
  </si>
  <si>
    <t xml:space="preserve">DS-88</t>
  </si>
  <si>
    <t xml:space="preserve">Market-implied fed funds rate probabilities (replaces CME FedWatch)</t>
  </si>
  <si>
    <t xml:space="preserve">Atlanta Fed Market Probability Tracker</t>
  </si>
  <si>
    <t xml:space="preserve">Web + data download</t>
  </si>
  <si>
    <t xml:space="preserve">https://www.atlantafed.org/cenfis/market-probability-tracker</t>
  </si>
  <si>
    <t xml:space="preserve">Historical data download link on the page; RSS: https://www.atlantafed.org/RSS/MarketProbabilityTracker</t>
  </si>
  <si>
    <t xml:space="preserve">XLSX/CSV</t>
  </si>
  <si>
    <t xml:space="preserve">Derived from CME SOFR options; updated each business day with prior-day data. Quarterly horizons, not meeting-by-meeting</t>
  </si>
  <si>
    <t xml:space="preserve">Prior-day data available by morning</t>
  </si>
  <si>
    <t xml:space="preserve">DS-31</t>
  </si>
  <si>
    <t xml:space="preserve">D2</t>
  </si>
  <si>
    <t xml:space="preserve">07:30</t>
  </si>
  <si>
    <t xml:space="preserve">04:30</t>
  </si>
  <si>
    <t xml:space="preserve">CBP implementation notices (CSMS)</t>
  </si>
  <si>
    <t xml:space="preserve">US Customs &amp; Border Protection</t>
  </si>
  <si>
    <t xml:space="preserve">Web / email</t>
  </si>
  <si>
    <t xml:space="preserve">https://www.cbp.gov/trade/automated/cargo-systems-messaging-service</t>
  </si>
  <si>
    <t xml:space="preserve">Effective-date details for collection</t>
  </si>
  <si>
    <t xml:space="preserve">DS-32</t>
  </si>
  <si>
    <t xml:space="preserve">Export controls (chips, batteries, critical minerals)</t>
  </si>
  <si>
    <t xml:space="preserve">Commerce – BIS</t>
  </si>
  <si>
    <t xml:space="preserve">https://www.bis.gov/news-updates</t>
  </si>
  <si>
    <t xml:space="preserve">Also via Federal Register agency=industry-and-security-bureau</t>
  </si>
  <si>
    <t xml:space="preserve">DS-33</t>
  </si>
  <si>
    <t xml:space="preserve">China counter-measures (rare earths, export bans)</t>
  </si>
  <si>
    <t xml:space="preserve">China MOFCOM</t>
  </si>
  <si>
    <t xml:space="preserve">http://english.mofcom.gov.cn/</t>
  </si>
  <si>
    <t xml:space="preserve">English site lags Chinese site</t>
  </si>
  <si>
    <t xml:space="preserve">CN (China State Council holidays)</t>
  </si>
  <si>
    <t xml:space="preserve">DS-37</t>
  </si>
  <si>
    <t xml:space="preserve">US sanctions actions</t>
  </si>
  <si>
    <t xml:space="preserve">Treasury OFAC</t>
  </si>
  <si>
    <t xml:space="preserve">Web / data files</t>
  </si>
  <si>
    <t xml:space="preserve">https://ofac.treasury.gov/recent-actions</t>
  </si>
  <si>
    <t xml:space="preserve">SDN list download: https://sanctionslist.ofac.treas.gov/</t>
  </si>
  <si>
    <t xml:space="preserve">HTML / XML</t>
  </si>
  <si>
    <t xml:space="preserve">DS-47</t>
  </si>
  <si>
    <t xml:space="preserve">Robotaxi – US federal</t>
  </si>
  <si>
    <t xml:space="preserve">Defect investigations, audit queries, special orders (e.g., Cybercab AQ26002)</t>
  </si>
  <si>
    <t xml:space="preserve">NHTSA Office of Defects Investigation</t>
  </si>
  <si>
    <t xml:space="preserve">CSV (zip) + Web</t>
  </si>
  <si>
    <t xml:space="preserve">https://static.nhtsa.gov/odi/ffdd/inv/FLAT_INV.zip</t>
  </si>
  <si>
    <t xml:space="preserve">Search UI: https://www.nhtsa.gov/recalls (make=TESLA); press: https://www.nhtsa.gov/press-releases</t>
  </si>
  <si>
    <t xml:space="preserve">TXT/CSV</t>
  </si>
  <si>
    <t xml:space="preserve">Investigation openings/escalations are price-moving</t>
  </si>
  <si>
    <t xml:space="preserve">DS-48</t>
  </si>
  <si>
    <t xml:space="preserve">Recalls &amp; complaints for Tesla models</t>
  </si>
  <si>
    <t xml:space="preserve">NHTSA vPIC / Recalls API</t>
  </si>
  <si>
    <t xml:space="preserve">https://api.nhtsa.gov/recalls/recallsByVehicle?make=TESLA&amp;model=MODEL%20Y&amp;modelYear=2026</t>
  </si>
  <si>
    <t xml:space="preserve">Complaints: https://api.nhtsa.gov/complaints/complaintsByVehicle?make=TESLA&amp;model=CYBERCAB&amp;modelYear=2026</t>
  </si>
  <si>
    <t xml:space="preserve">Model Y, Model 3, Cybercab</t>
  </si>
  <si>
    <t xml:space="preserve">DS-60</t>
  </si>
  <si>
    <t xml:space="preserve">Robotaxi – company</t>
  </si>
  <si>
    <t xml:space="preserve">Service areas, cities, app availability</t>
  </si>
  <si>
    <t xml:space="preserve">Tesla Robotaxi site / X account</t>
  </si>
  <si>
    <t xml:space="preserve">https://www.tesla.com/robotaxi</t>
  </si>
  <si>
    <t xml:space="preserve">Also official X: @robotaxi and @Tesla_AI for area expansions</t>
  </si>
  <si>
    <t xml:space="preserve">Tesla doesn't publish fleet size; quarterly letters give cumulative miles</t>
  </si>
  <si>
    <t xml:space="preserve">DS-61</t>
  </si>
  <si>
    <t xml:space="preserve">Robotaxi – trackers</t>
  </si>
  <si>
    <t xml:space="preserve">Aggregated state permit rosters &amp; fleet sizes (Tesla, Waymo, Zoox)</t>
  </si>
  <si>
    <t xml:space="preserve">Robotaxi Tracker</t>
  </si>
  <si>
    <t xml:space="preserve">https://robotaxitracker.com/permits</t>
  </si>
  <si>
    <t xml:space="preserve">Methodology: https://robotaxitracker.com/methodology</t>
  </si>
  <si>
    <t xml:space="preserve">Free (attribution required)</t>
  </si>
  <si>
    <t xml:space="preserve">Unofficial – cross-check against TxDMV/CA DMV</t>
  </si>
  <si>
    <t xml:space="preserve">DS-64</t>
  </si>
  <si>
    <t xml:space="preserve">SpaceX launches</t>
  </si>
  <si>
    <t xml:space="preserve">FAA launch/reentry licenses, Starship license mods, mishap investigations</t>
  </si>
  <si>
    <t xml:space="preserve">FAA Office of Commercial Space Transportation</t>
  </si>
  <si>
    <t xml:space="preserve">https://www.faa.gov/space/licenses/operator_licenses_permits</t>
  </si>
  <si>
    <t xml:space="preserve">Data: https://www.faa.gov/data_research/commercial_space_data ; Starship: https://www.faa.gov/space/stakeholder_engagement/spacex_starship</t>
  </si>
  <si>
    <t xml:space="preserve">Groundings after mishaps move SPCX</t>
  </si>
  <si>
    <t xml:space="preserve">DS-65</t>
  </si>
  <si>
    <t xml:space="preserve">Starlink constellation size (on-orbit satellites)</t>
  </si>
  <si>
    <t xml:space="preserve">CelesTrak</t>
  </si>
  <si>
    <t xml:space="preserve">https://celestrak.org/NORAD/elements/gp.php?GROUP=starlink&amp;FORMAT=json</t>
  </si>
  <si>
    <t xml:space="preserve">Count objects per day for constellation growth</t>
  </si>
  <si>
    <t xml:space="preserve">Space-Track.org is the authoritative alt (free account)</t>
  </si>
  <si>
    <t xml:space="preserve">CelesTrak asks for ≤1 download per 2 hours; daily is well within</t>
  </si>
  <si>
    <t xml:space="preserve">DS-71</t>
  </si>
  <si>
    <t xml:space="preserve">NSSL launch assignments &amp; Space Force awards</t>
  </si>
  <si>
    <t xml:space="preserve">Space Systems Command</t>
  </si>
  <si>
    <t xml:space="preserve">https://www.ssc.spaceforce.mil/News</t>
  </si>
  <si>
    <t xml:space="preserve">DS-74</t>
  </si>
  <si>
    <t xml:space="preserve">SpaceX customers</t>
  </si>
  <si>
    <t xml:space="preserve">Starlink licensing, spectrum, direct-to-cell filings</t>
  </si>
  <si>
    <t xml:space="preserve">FCC ECFS API + ICFS</t>
  </si>
  <si>
    <t xml:space="preserve">https://publicapi.fcc.gov/ecfs/filings?api_key={KEY}&amp;q=SpaceX&amp;sort=date_disseminated,DESC</t>
  </si>
  <si>
    <t xml:space="preserve">Satellite applications: https://licensing.fcc.gov/myibfs/ (ICFS); api.data.gov key</t>
  </si>
  <si>
    <t xml:space="preserve">API key (api.data.gov)</t>
  </si>
  <si>
    <t xml:space="preserve">Spectrum approvals drive Starlink capacity</t>
  </si>
  <si>
    <t xml:space="preserve">DS-76</t>
  </si>
  <si>
    <t xml:space="preserve">Commercial customer announcements (airlines, telcos, governments)</t>
  </si>
  <si>
    <t xml:space="preserve">Starlink updates</t>
  </si>
  <si>
    <t xml:space="preserve">https://www.starlink.com/updates</t>
  </si>
  <si>
    <t xml:space="preserve">Also Starlink business/aviation press pages</t>
  </si>
  <si>
    <t xml:space="preserve">DS-17</t>
  </si>
  <si>
    <t xml:space="preserve">D3</t>
  </si>
  <si>
    <t xml:space="preserve">09:15</t>
  </si>
  <si>
    <t xml:space="preserve">06:15</t>
  </si>
  <si>
    <t xml:space="preserve">Effective Fed Funds Rate &amp; SOFR</t>
  </si>
  <si>
    <t xml:space="preserve">NY Fed Markets API</t>
  </si>
  <si>
    <t xml:space="preserve">https://markets.newyorkfed.org/api/rates/unsecured/effr/last/1.json</t>
  </si>
  <si>
    <t xml:space="preserve">SOFR: /api/rates/secured/sofr/last/1.json</t>
  </si>
  <si>
    <t xml:space="preserve">EFFR + SOFR (published ~09:00 ET)</t>
  </si>
  <si>
    <t xml:space="preserve">DS-01</t>
  </si>
  <si>
    <t xml:space="preserve">D4</t>
  </si>
  <si>
    <t xml:space="preserve">16:45</t>
  </si>
  <si>
    <t xml:space="preserve">13:45</t>
  </si>
  <si>
    <t xml:space="preserve">Alpaca free IEX hourly bars (DS-02) become primary; Massive free tier keeps the daily-close check</t>
  </si>
  <si>
    <t xml:space="preserve">Official daily close for TSLA, SPCX + ETF proxies (verifies Alpaca)</t>
  </si>
  <si>
    <t xml:space="preserve">Massive (formerly Polygon.io)</t>
  </si>
  <si>
    <t xml:space="preserve">https://api.massive.com/v2/aggs/ticker/{TICKER}/prev</t>
  </si>
  <si>
    <t xml:space="preserve">One call per ticker after the close (9 tickers); throttle to 5 calls/min (~2 minutes per run)</t>
  </si>
  <si>
    <t xml:space="preserve">Free Basic tier (5 calls/min, end-of-day + 15-min delayed)</t>
  </si>
  <si>
    <t xml:space="preserve">FREE-TIER IMPACT: demoted to backup. Free Basic gives end-of-day + 15-min delayed data at 5 calls/min – enough for a daily-close check (9 calls/day incl. ETF proxies, throttled over ~2 min) and hourly failover, not primary intraday use. Fallback for index closes: FRED (DS-91).</t>
  </si>
  <si>
    <t xml:space="preserve">Free tier: daily close per ticker (TSLA, SPCX + 7 ETFs), throttled to 5/min; failover for hourly bars</t>
  </si>
  <si>
    <t xml:space="preserve">US-BOND (SIFMA bond-market days)</t>
  </si>
  <si>
    <t xml:space="preserve">DS-14</t>
  </si>
  <si>
    <t xml:space="preserve">Daily Treasury par yield curve (1M–30Y)</t>
  </si>
  <si>
    <t xml:space="preserve">US Treasury</t>
  </si>
  <si>
    <t xml:space="preserve">XML / CSV</t>
  </si>
  <si>
    <t xml:space="preserve">https://home.treasury.gov/resource-center/data-chart-center/interest-rates/pages/xml?data=daily_treasury_yield_curve&amp;field_tdr_date_value=2026</t>
  </si>
  <si>
    <t xml:space="preserve">CSV: .../daily-treasury-rates.csv/2026/all?type=daily_treasury_yield_curve</t>
  </si>
  <si>
    <t xml:space="preserve">XML/CSV</t>
  </si>
  <si>
    <t xml:space="preserve">Authoritative source for curve</t>
  </si>
  <si>
    <t xml:space="preserve">Whole yield curve in one call (published ~15:30 ET)</t>
  </si>
  <si>
    <t xml:space="preserve">DS-89</t>
  </si>
  <si>
    <t xml:space="preserve">Interest rates / Inflation</t>
  </si>
  <si>
    <t xml:space="preserve">Meeting-level Fed decision odds and CPI outcome odds</t>
  </si>
  <si>
    <t xml:space="preserve">Kalshi public market data API</t>
  </si>
  <si>
    <t xml:space="preserve">https://api.elections.kalshi.com/trade-api/v2/markets?series_ticker={SERIES}&amp;status=open</t>
  </si>
  <si>
    <t xml:space="preserve">Find series via /trade-api/v2/series (e.g., Fed decision and CPI series); market data needs no login</t>
  </si>
  <si>
    <t xml:space="preserve">None for market data</t>
  </si>
  <si>
    <t xml:space="preserve">Free (~20 req/s)</t>
  </si>
  <si>
    <t xml:space="preserve">Prediction-market prices; thin markets can be noisy. Read-only use, no account needed</t>
  </si>
  <si>
    <t xml:space="preserve">Fed decision series + CPI series</t>
  </si>
  <si>
    <t xml:space="preserve">DS-90</t>
  </si>
  <si>
    <t xml:space="preserve">Inflation</t>
  </si>
  <si>
    <t xml:space="preserve">CPI, core CPI, PCE &amp; core PCE nowcasts (free stand-in for consensus forecasts)</t>
  </si>
  <si>
    <t xml:space="preserve">Cleveland Fed Inflation Nowcasting</t>
  </si>
  <si>
    <t xml:space="preserve">https://www.clevelandfed.org/indicators-and-data/inflation-nowcasting</t>
  </si>
  <si>
    <t xml:space="preserve">Month-over-month and year-over-year nowcasts; updated each business day ~10:00 ET</t>
  </si>
  <si>
    <t xml:space="preserve">HTML/JSON (page data)</t>
  </si>
  <si>
    <t xml:space="preserve">CPI surprise = actual (BLS) − Cleveland Fed nowcast on the day before release</t>
  </si>
  <si>
    <t xml:space="preserve">Captures the latest nowcast (updated ~10:00 ET)</t>
  </si>
  <si>
    <t xml:space="preserve">DS-93</t>
  </si>
  <si>
    <t xml:space="preserve">Options sentiment</t>
  </si>
  <si>
    <t xml:space="preserve">Put/call ratio (volume &amp; open interest) and IV30 for TSLA, SPCX</t>
  </si>
  <si>
    <t xml:space="preserve">Alpaca options market data – indicative feed</t>
  </si>
  <si>
    <t xml:space="preserve">https://data.alpaca.markets/v1beta1/options/snapshots/{UNDERLYING}?feed=indicative</t>
  </si>
  <si>
    <t xml:space="preserve">One chain snapshot per underlying after the close; IV30 = interpolate implied vol of contracts ~30 days to expiry; P/C = put ÷ call daily volume</t>
  </si>
  <si>
    <t xml:space="preserve">Free Basic plan: indicative feed (15-min delayed) – CONFIRM free tier includes chain snapshots with IV/greeks</t>
  </si>
  <si>
    <t xml:space="preserve">Confirm free tier includes it before building; if greeks/IV are missing, compute IV from option mid prices (Black-Scholes) or drop IV30</t>
  </si>
  <si>
    <t xml:space="preserve">One chain snapshot per underlying (TSLA, SPCX)</t>
  </si>
  <si>
    <t xml:space="preserve">DS-67</t>
  </si>
  <si>
    <t xml:space="preserve">D5</t>
  </si>
  <si>
    <t xml:space="preserve">17:45</t>
  </si>
  <si>
    <t xml:space="preserve">14:45</t>
  </si>
  <si>
    <t xml:space="preserve">All federal awards to SpaceX (NASA, Space Force, NRO, etc.)</t>
  </si>
  <si>
    <t xml:space="preserve">USAspending.gov API</t>
  </si>
  <si>
    <t xml:space="preserve">REST (POST)</t>
  </si>
  <si>
    <t xml:space="preserve">https://api.usaspending.gov/api/v2/search/spending_by_award/</t>
  </si>
  <si>
    <t xml:space="preserve">Body filters: recipient_search_text=["Space Exploration Technologies"], award_type_codes=[A,B,C,D], time_period; Tx detail: /api/v2/awards/{id}/</t>
  </si>
  <si>
    <t xml:space="preserve">Includes modifications (obligation changes)</t>
  </si>
  <si>
    <t xml:space="preserve">DS-68</t>
  </si>
  <si>
    <t xml:space="preserve">Contract award records (replaces FPDS, retired Feb 2026)</t>
  </si>
  <si>
    <t xml:space="preserve">SAM.gov Contract Awards API</t>
  </si>
  <si>
    <t xml:space="preserve">https://api.sam.gov/contract-awards/v1/search?api_key={KEY}&amp;awardeeLegalBusinessName=SPACE EXPLORATION TECHNOLOGIES CORP</t>
  </si>
  <si>
    <t xml:space="preserve">contractingDepartmentCode=8000 (NASA), 9700 (DoD); lastModifiedDate range</t>
  </si>
  <si>
    <t xml:space="preserve">API key (SAM.gov / Login.gov)</t>
  </si>
  <si>
    <t xml:space="preserve">Free; 10 req/day without role, 1,000 with role</t>
  </si>
  <si>
    <t xml:space="preserve">Get a system account for 1,000+/day</t>
  </si>
  <si>
    <t xml:space="preserve">Fits 10/day limit of a basic SAM.gov key</t>
  </si>
  <si>
    <t xml:space="preserve">DS-69</t>
  </si>
  <si>
    <t xml:space="preserve">Upcoming solicitations SpaceX may win (lunar, NSSL, Golden Dome)</t>
  </si>
  <si>
    <t xml:space="preserve">SAM.gov Contract Opportunities API</t>
  </si>
  <si>
    <t xml:space="preserve">https://api.sam.gov/opportunities/v2/search?api_key={KEY}&amp;postedFrom={MM/dd/yyyy}&amp;postedTo={MM/dd/yyyy}&amp;organizationName=NATIONAL AERONAUTICS AND SPACE ADMINISTRATION</t>
  </si>
  <si>
    <t xml:space="preserve">Filter NAICS 336414, 336415, 481212, 517410</t>
  </si>
  <si>
    <t xml:space="preserve">Pipeline view, not wins</t>
  </si>
  <si>
    <t xml:space="preserve">DS-70</t>
  </si>
  <si>
    <t xml:space="preserve">Daily DoD contract announcements ≥$7.5M (Space Force, NRO launches)</t>
  </si>
  <si>
    <t xml:space="preserve">Department of Defense – Contracts</t>
  </si>
  <si>
    <t xml:space="preserve">Web / RSS</t>
  </si>
  <si>
    <t xml:space="preserve">https://www.defense.gov/News/Contracts/</t>
  </si>
  <si>
    <t xml:space="preserve">Published ~5pm ET weekdays; parse for 'Space Exploration Technologies'</t>
  </si>
  <si>
    <t xml:space="preserve">HTML/RSS</t>
  </si>
  <si>
    <t xml:space="preserve">Announcements post ~17:00 ET</t>
  </si>
  <si>
    <t xml:space="preserve">DS-30</t>
  </si>
  <si>
    <t xml:space="preserve">Weekly</t>
  </si>
  <si>
    <t xml:space="preserve">W1</t>
  </si>
  <si>
    <t xml:space="preserve">Mon 08:00</t>
  </si>
  <si>
    <t xml:space="preserve">Mon 05:00</t>
  </si>
  <si>
    <t xml:space="preserve">Current tariff rates by HTS code (autos 8703, batteries 8507)</t>
  </si>
  <si>
    <t xml:space="preserve">USITC HTS REST API</t>
  </si>
  <si>
    <t xml:space="preserve">https://hts.usitc.gov/reststop/search?keyword=8703</t>
  </si>
  <si>
    <t xml:space="preserve">Also /reststop/exportList for full schedule</t>
  </si>
  <si>
    <t xml:space="preserve">Reference table for affected product codes</t>
  </si>
  <si>
    <t xml:space="preserve">DS-36</t>
  </si>
  <si>
    <t xml:space="preserve">Open tier (aggregated data) + GDELT events (DS-35)</t>
  </si>
  <si>
    <t xml:space="preserve">Conflict &amp; protest events (geo-coded)</t>
  </si>
  <si>
    <t xml:space="preserve">ACLED API</t>
  </si>
  <si>
    <t xml:space="preserve">REST (OAuth)</t>
  </si>
  <si>
    <t xml:space="preserve">https://acleddata.com/api/acled/read?_format=json&amp;event_date={d}</t>
  </si>
  <si>
    <t xml:space="preserve">Token: POST https://acleddata.com/oauth/token (myACLED account)</t>
  </si>
  <si>
    <t xml:space="preserve">OAuth (myACLED account)</t>
  </si>
  <si>
    <t xml:space="preserve">Free for non-commercial / research tier</t>
  </si>
  <si>
    <t xml:space="preserve">FREE-TIER IMPACT: personal email gets the Open tier (aggregated data only, no event-level API). Conflict events come mainly from GDELT (DS-35).</t>
  </si>
  <si>
    <t xml:space="preserve">DS-38</t>
  </si>
  <si>
    <t xml:space="preserve">Geopolitical Risk (GPR) Index</t>
  </si>
  <si>
    <t xml:space="preserve">Caldara &amp; Iacoviello (Fed Board)</t>
  </si>
  <si>
    <t xml:space="preserve">Download</t>
  </si>
  <si>
    <t xml:space="preserve">https://www.matteoiacoviello.com/gpr.htm</t>
  </si>
  <si>
    <t xml:space="preserve">Daily &amp; monthly XLS files</t>
  </si>
  <si>
    <t xml:space="preserve">XLS</t>
  </si>
  <si>
    <t xml:space="preserve">Single numeric risk gauge for charts</t>
  </si>
  <si>
    <t xml:space="preserve">DS-50</t>
  </si>
  <si>
    <t xml:space="preserve">Robotaxi – California</t>
  </si>
  <si>
    <t xml:space="preserve">AV testing / driverless / deployment permit holders</t>
  </si>
  <si>
    <t xml:space="preserve">California DMV</t>
  </si>
  <si>
    <t xml:space="preserve">https://www.dmv.ca.gov/portal/vehicle-industry-services/autonomous-vehicles/autonomous-vehicle-testing-permit-holders/</t>
  </si>
  <si>
    <t xml:space="preserve">Watch for Tesla moving from 'testing with driver' to driverless or deployment permit</t>
  </si>
  <si>
    <t xml:space="preserve">Tesla currently holds testing-with-driver permit only</t>
  </si>
  <si>
    <t xml:space="preserve">DS-51</t>
  </si>
  <si>
    <t xml:space="preserve">AV collision reports (OL 316)</t>
  </si>
  <si>
    <t xml:space="preserve">Web (PDF per report)</t>
  </si>
  <si>
    <t xml:space="preserve">https://www.dmv.ca.gov/portal/vehicle-industry-services/autonomous-vehicles/autonomous-vehicle-collision-reports/</t>
  </si>
  <si>
    <t xml:space="preserve">Structured mirror: https://tims.berkeley.edu/tools/avsafety.php</t>
  </si>
  <si>
    <t xml:space="preserve">PDF/HTML</t>
  </si>
  <si>
    <t xml:space="preserve">DS-54</t>
  </si>
  <si>
    <t xml:space="preserve">Robotaxi – Texas</t>
  </si>
  <si>
    <t xml:space="preserve">Commercial AV authorizations &amp; AV-registered vehicles (fleet count by model)</t>
  </si>
  <si>
    <t xml:space="preserve">Texas DMV – Automated Motor Vehicles Program</t>
  </si>
  <si>
    <t xml:space="preserve">https://www.txdmv.gov/AVprogram</t>
  </si>
  <si>
    <t xml:space="preserve">Authorization enforceable since 28 May 2026; vehicle verification portal linked from page</t>
  </si>
  <si>
    <t xml:space="preserve">Best official proxy for Austin/Dallas/Houston fleet size (476 Tesla vehicles as of 21 Sep 2026)</t>
  </si>
  <si>
    <t xml:space="preserve">DS-55</t>
  </si>
  <si>
    <t xml:space="preserve">Robotaxi – Nevada</t>
  </si>
  <si>
    <t xml:space="preserve">Autonomous Vehicle Network Company permits (Tesla AVNC Permit 002, up to 5,000 vehicles)</t>
  </si>
  <si>
    <t xml:space="preserve">Nevada Transportation Authority (Dept. of Business &amp; Industry)</t>
  </si>
  <si>
    <t xml:space="preserve">https://www.business.nv.gov/news-media/press-releases/</t>
  </si>
  <si>
    <t xml:space="preserve">Also Nevada DMV AV testing licenses: https://dmv.nv.gov/autonomous.htm</t>
  </si>
  <si>
    <t xml:space="preserve">Approved 21 Aug 2026; Las Vegas launch pending</t>
  </si>
  <si>
    <t xml:space="preserve">DS-56</t>
  </si>
  <si>
    <t xml:space="preserve">Robotaxi – Arizona</t>
  </si>
  <si>
    <t xml:space="preserve">AV self-certification &amp; TNC (ride-hail) permits</t>
  </si>
  <si>
    <t xml:space="preserve">Arizona DOT (ADOT)</t>
  </si>
  <si>
    <t xml:space="preserve">https://azdot.gov/</t>
  </si>
  <si>
    <t xml:space="preserve">Search ADOT site for 'autonomous vehicle'; Tesla got TNC permit Nov 2025</t>
  </si>
  <si>
    <t xml:space="preserve">Phoenix launch preparations per Q2 2026 disclosure</t>
  </si>
  <si>
    <t xml:space="preserve">DS-57</t>
  </si>
  <si>
    <t xml:space="preserve">Robotaxi – Florida</t>
  </si>
  <si>
    <t xml:space="preserve">No state AV permit required; track via city/airport approvals &amp; news</t>
  </si>
  <si>
    <t xml:space="preserve">Florida HSMV / local news</t>
  </si>
  <si>
    <t xml:space="preserve">https://www.flhsmv.gov/</t>
  </si>
  <si>
    <t xml:space="preserve">Use news agents for Miami, Orlando, Tampa service-area changes</t>
  </si>
  <si>
    <t xml:space="preserve">Fewest official data points of any operating state</t>
  </si>
  <si>
    <t xml:space="preserve">DS-58</t>
  </si>
  <si>
    <t xml:space="preserve">Robotaxi – Europe</t>
  </si>
  <si>
    <t xml:space="preserve">FSD (Supervised) type approval &amp; national recognitions</t>
  </si>
  <si>
    <t xml:space="preserve">RDW (Netherlands vehicle authority)</t>
  </si>
  <si>
    <t xml:space="preserve">https://www.rdw.nl/</t>
  </si>
  <si>
    <t xml:space="preserve">EU harmonisation via TCMV; DCAS rule UN R171 at https://unece.org/transport/vehicle-regulations</t>
  </si>
  <si>
    <t xml:space="preserve">8 countries approved as of 29 Sep 2026 (NL, BE, CZ, DK, HR, LT, SI, EE)</t>
  </si>
  <si>
    <t xml:space="preserve">NL (Netherlands public holidays)</t>
  </si>
  <si>
    <t xml:space="preserve">DS-59</t>
  </si>
  <si>
    <t xml:space="preserve">Robotaxi – China</t>
  </si>
  <si>
    <t xml:space="preserve">FSD / 'Tesla Assisted Driving' approval, L3/L4 pilot permits</t>
  </si>
  <si>
    <t xml:space="preserve">MIIT (Ministry of Industry &amp; IT)</t>
  </si>
  <si>
    <t xml:space="preserve">https://www.miit.gov.cn/</t>
  </si>
  <si>
    <t xml:space="preserve">Product announcements list; also Shanghai/Beijing robotaxi pilot zone notices</t>
  </si>
  <si>
    <t xml:space="preserve">HTML (Chinese)</t>
  </si>
  <si>
    <t xml:space="preserve">Supervised FSD live since 21 May 2026; full approval pending</t>
  </si>
  <si>
    <t xml:space="preserve">DS-62</t>
  </si>
  <si>
    <t xml:space="preserve">Robotaxi status by city/company</t>
  </si>
  <si>
    <t xml:space="preserve">The Charge Port Robotaxi Tracker</t>
  </si>
  <si>
    <t xml:space="preserve">https://thechargeport.com/robotaxi-tracker</t>
  </si>
  <si>
    <t xml:space="preserve">Unofficial</t>
  </si>
  <si>
    <t xml:space="preserve">DS-63</t>
  </si>
  <si>
    <t xml:space="preserve">FSD approvals by country (EU) &amp; US rollout</t>
  </si>
  <si>
    <t xml:space="preserve">Not a Tesla App / NotAnFSDTracker</t>
  </si>
  <si>
    <t xml:space="preserve">https://notanfsdtracker.com/eu-tracker</t>
  </si>
  <si>
    <t xml:space="preserve">US: https://notanfsdtracker.com/united-states-tesla-robotaxi-rollout-2026</t>
  </si>
  <si>
    <t xml:space="preserve">DS-66</t>
  </si>
  <si>
    <t xml:space="preserve">Launch &amp; Starlink statistics</t>
  </si>
  <si>
    <t xml:space="preserve">Jonathan McDowell – planet4589</t>
  </si>
  <si>
    <t xml:space="preserve">https://planet4589.org/space/con/star/stats.html</t>
  </si>
  <si>
    <t xml:space="preserve">Widely used independent stats</t>
  </si>
  <si>
    <t xml:space="preserve">DS-73</t>
  </si>
  <si>
    <t xml:space="preserve">Bid protests of NASA/DoD awards (risk to wins)</t>
  </si>
  <si>
    <t xml:space="preserve">GAO Bid Protest Decisions</t>
  </si>
  <si>
    <t xml:space="preserve">https://www.gao.gov/legal/bid-protests/search</t>
  </si>
  <si>
    <t xml:space="preserve">Search 'Space Exploration Technologies' or 'SpaceX'</t>
  </si>
  <si>
    <t xml:space="preserve">DS-80</t>
  </si>
  <si>
    <t xml:space="preserve">Monthly / on release</t>
  </si>
  <si>
    <t xml:space="preserve">C1</t>
  </si>
  <si>
    <t xml:space="preserve">1st US federal business day of month, 06:00</t>
  </si>
  <si>
    <t xml:space="preserve">03:00</t>
  </si>
  <si>
    <t xml:space="preserve">Calendars</t>
  </si>
  <si>
    <t xml:space="preserve">NYSE trading sessions, holidays &amp; 1pm early closes</t>
  </si>
  <si>
    <t xml:space="preserve">exchange_calendars (Python library, calendar XNYS)</t>
  </si>
  <si>
    <t xml:space="preserve">Library (offline)</t>
  </si>
  <si>
    <t xml:space="preserve">https://pypi.org/project/exchange-calendars/</t>
  </si>
  <si>
    <t xml:space="preserve">xc.get_calendar('XNYS').is_session(date); session_close(date) for early closes</t>
  </si>
  <si>
    <t xml:space="preserve">Free (open source)</t>
  </si>
  <si>
    <t xml:space="preserve">Python</t>
  </si>
  <si>
    <t xml:space="preserve">No API calls; upgrade the package yearly so new-year holidays are included</t>
  </si>
  <si>
    <t xml:space="preserve">Offline library – no API calls</t>
  </si>
  <si>
    <t xml:space="preserve">DS-81</t>
  </si>
  <si>
    <t xml:space="preserve">US federal, China (incl. make-up days) &amp; Netherlands public holidays</t>
  </si>
  <si>
    <t xml:space="preserve">holidays (Python library)</t>
  </si>
  <si>
    <t xml:space="preserve">https://pypi.org/project/holidays/</t>
  </si>
  <si>
    <t xml:space="preserve">holidays.US(), holidays.financial_holidays('NYSE'), holidays.CN(language='en_US'), holidays.NL()</t>
  </si>
  <si>
    <t xml:space="preserve">China dates for next year only appear once the State Council publishes them</t>
  </si>
  <si>
    <t xml:space="preserve">DS-82</t>
  </si>
  <si>
    <t xml:space="preserve">Market calendar check incl. early closes (confirms library)</t>
  </si>
  <si>
    <t xml:space="preserve">Alpaca Calendar API</t>
  </si>
  <si>
    <t xml:space="preserve">https://paper-api.alpaca.markets/v2/calendar?start={YYYY-MM-01}&amp;end={YYYY-MM-last}</t>
  </si>
  <si>
    <t xml:space="preserve">Returns each trading date with open/close times</t>
  </si>
  <si>
    <t xml:space="preserve">One call a month; alert if it disagrees with exchange_calendars</t>
  </si>
  <si>
    <t xml:space="preserve">One call per month</t>
  </si>
  <si>
    <t xml:space="preserve">DS-19</t>
  </si>
  <si>
    <t xml:space="preserve">M1</t>
  </si>
  <si>
    <t xml:space="preserve">1st business day of month, 08:00</t>
  </si>
  <si>
    <t xml:space="preserve">1st business day of month, 05:00</t>
  </si>
  <si>
    <t xml:space="preserve">FOMC meeting calendar &amp; dot plot (SEP)</t>
  </si>
  <si>
    <t xml:space="preserve">https://www.federalreserve.gov/monetarypolicy/fomccalendars.htm</t>
  </si>
  <si>
    <t xml:space="preserve">SEP published at Mar/Jun/Sep/Dec meetings</t>
  </si>
  <si>
    <t xml:space="preserve">8 scheduled meetings/year</t>
  </si>
  <si>
    <t xml:space="preserve">Calendar + SEP check</t>
  </si>
  <si>
    <t xml:space="preserve">Release calendar</t>
  </si>
  <si>
    <t xml:space="preserve">DS-21</t>
  </si>
  <si>
    <t xml:space="preserve">08:35 on BLS CPI release day</t>
  </si>
  <si>
    <t xml:space="preserve">05:35 on BLS CPI release day</t>
  </si>
  <si>
    <t xml:space="preserve">CPI-U headline &amp; core (SA/NSA)</t>
  </si>
  <si>
    <t xml:space="preserve">BLS Public Data API v2</t>
  </si>
  <si>
    <t xml:space="preserve">https://api.bls.gov/publicAPI/v2/timeseries/data/</t>
  </si>
  <si>
    <t xml:space="preserve">Body: {"seriesid":["CUSR0000SA0","CUSR0000SA0L1E"],"startyear":"2024","endyear":"2026","registrationkey":"{KEY}"}</t>
  </si>
  <si>
    <t xml:space="preserve">Registration key (free)</t>
  </si>
  <si>
    <t xml:space="preserve">Free (500 req/day w/ key)</t>
  </si>
  <si>
    <t xml:space="preserve">CPI surprise is now actual (this source) minus the Cleveland Fed nowcast (DS-90) instead of Wall Street consensus.</t>
  </si>
  <si>
    <t xml:space="preserve">One POST returns all CPI series</t>
  </si>
  <si>
    <t xml:space="preserve">DS-22</t>
  </si>
  <si>
    <t xml:space="preserve">CPI release schedule</t>
  </si>
  <si>
    <t xml:space="preserve">BLS</t>
  </si>
  <si>
    <t xml:space="preserve">Web / ICS</t>
  </si>
  <si>
    <t xml:space="preserve">https://www.bls.gov/schedule/news_release/cpi.htm</t>
  </si>
  <si>
    <t xml:space="preserve">FREE-TIER IMPACT: now a primary source of CPI release dates (replaces paid calendar DS-25).</t>
  </si>
  <si>
    <t xml:space="preserve">Refresh CPI release dates</t>
  </si>
  <si>
    <t xml:space="preserve">DS-24</t>
  </si>
  <si>
    <t xml:space="preserve">08:35 on BEA PCE release day</t>
  </si>
  <si>
    <t xml:space="preserve">05:35 on BEA PCE release day</t>
  </si>
  <si>
    <t xml:space="preserve">PCE price index (Fed's preferred gauge)</t>
  </si>
  <si>
    <t xml:space="preserve">BEA API</t>
  </si>
  <si>
    <t xml:space="preserve">https://apps.bea.gov/api/data?UserID={KEY}&amp;method=GetData&amp;DataSetName=NIPA&amp;TableName=T20804&amp;Frequency=M&amp;Year=2026</t>
  </si>
  <si>
    <t xml:space="preserve">Not in original scope but moves rate expectations</t>
  </si>
  <si>
    <t xml:space="preserve">DS-34</t>
  </si>
  <si>
    <t xml:space="preserve">08:35 on Census trade release day</t>
  </si>
  <si>
    <t xml:space="preserve">05:35 on Census trade release day</t>
  </si>
  <si>
    <t xml:space="preserve">US import/export volumes by HS code</t>
  </si>
  <si>
    <t xml:space="preserve">Census International Trade API</t>
  </si>
  <si>
    <t xml:space="preserve">https://api.census.gov/data/timeseries/intltrade/imports/hs?get=GEN_VAL_MO,CTY_NAME&amp;I_COMMODITY=8703&amp;time=2026-07</t>
  </si>
  <si>
    <t xml:space="preserve">Exports: /intltrade/exports/hs</t>
  </si>
  <si>
    <t xml:space="preserve">API key (optional)</t>
  </si>
  <si>
    <t xml:space="preserve">Measures real trade impact</t>
  </si>
  <si>
    <t xml:space="preserve">Imports + exports</t>
  </si>
  <si>
    <t xml:space="preserve">DS-46</t>
  </si>
  <si>
    <t xml:space="preserve">1st Monday of month, 08:00</t>
  </si>
  <si>
    <t xml:space="preserve">1st Monday of month, 05:00</t>
  </si>
  <si>
    <t xml:space="preserve">Crash reports for driverless (ADS) vehicles incl. Tesla Robotaxi/Cybercab</t>
  </si>
  <si>
    <t xml:space="preserve">NHTSA Standing General Order 2021-01</t>
  </si>
  <si>
    <t xml:space="preserve">CSV download</t>
  </si>
  <si>
    <t xml:space="preserve">https://static.nhtsa.gov/odi/ffdd/sgo-2021-01/SGO-2021-01_Incident_Reports_ADS.csv</t>
  </si>
  <si>
    <t xml:space="preserve">Filter Reporting Entity = Tesla; L2 file: .../SGO-2021-01_Incident_Reports_ADAS.csv (FSD Supervised)</t>
  </si>
  <si>
    <t xml:space="preserve">CSV</t>
  </si>
  <si>
    <t xml:space="preserve">Archive files for pre-16-Jun-2025 data on https://www.nhtsa.gov/SGOCrashReporting</t>
  </si>
  <si>
    <t xml:space="preserve">ADS + ADAS CSVs</t>
  </si>
  <si>
    <t xml:space="preserve">DS-92</t>
  </si>
  <si>
    <t xml:space="preserve">On FINRA publication date (twice monthly), 08:00</t>
  </si>
  <si>
    <t xml:space="preserve">On FINRA publication date (twice monthly), 05:00</t>
  </si>
  <si>
    <t xml:space="preserve">Short interest</t>
  </si>
  <si>
    <t xml:space="preserve">Short interest: shares short, days to cover, % change; % of float derived</t>
  </si>
  <si>
    <t xml:space="preserve">FINRA Query API – consolidated short interest</t>
  </si>
  <si>
    <t xml:space="preserve">https://api.finra.org/data/group/otcMarket/name/consolidatedShortInterest</t>
  </si>
  <si>
    <t xml:space="preserve">Body: compareFilters on symbolCode IN (TSLA, SPCX, …) and settlementDate; fields e.g. currentShortPositionQuantity, daysToCoverQuantity (confirm names in the FINRA API Console)</t>
  </si>
  <si>
    <t xml:space="preserve">Free FINRA API account (client credentials); confirm dataset entitlement</t>
  </si>
  <si>
    <t xml:space="preserve">Free (non-commercial)</t>
  </si>
  <si>
    <t xml:space="preserve">JSON/CSV</t>
  </si>
  <si>
    <t xml:space="preserve">Covers exchange-listed and OTC stocks. Twice monthly on FINRA publication dates (see Release Calendar tab). % of float = short shares ÷ float (shares outstanding from SEC dei:EntityCommonStockSharesOutstanding as proxy)</t>
  </si>
  <si>
    <t xml:space="preserve">One call per publication returns all tracked tickers</t>
  </si>
  <si>
    <t xml:space="preserve">DS-11</t>
  </si>
  <si>
    <t xml:space="preserve">Quarterly</t>
  </si>
  <si>
    <t xml:space="preserve">Q1</t>
  </si>
  <si>
    <t xml:space="preserve">Day after Tesla earnings, 08:00</t>
  </si>
  <si>
    <t xml:space="preserve">Day after Tesla earnings, 05:00</t>
  </si>
  <si>
    <t xml:space="preserve">Structured financials incl. gross margin (GrossProfit ÷ Revenues), EPS</t>
  </si>
  <si>
    <t xml:space="preserve">SEC EDGAR XBRL Company Facts</t>
  </si>
  <si>
    <t xml:space="preserve">https://data.sec.gov/api/xbrl/companyfacts/CIK0001318605.json</t>
  </si>
  <si>
    <t xml:space="preserve">Concepts us-gaap:GrossProfit and us-gaap:Revenues (gross margin = ratio, per quarter); single concept: /api/xbrl/companyconcept/CIK0001318605/us-gaap/GrossProfit.json</t>
  </si>
  <si>
    <t xml:space="preserve">None (User-Agent header)</t>
  </si>
  <si>
    <t xml:space="preserve">Gross margin computed per fiscal quarter from 10-Q/10-K facts (Q4 = FY − 9M when only annual is reported)</t>
  </si>
  <si>
    <t xml:space="preserve">DS-12</t>
  </si>
  <si>
    <t xml:space="preserve">Deliveries: ~2nd day after quarter end, 09:05; earnings: 16:35</t>
  </si>
  <si>
    <t xml:space="preserve">Deliveries: ~2nd day after quarter end, 06:05; earnings: 13:35</t>
  </si>
  <si>
    <t xml:space="preserve">Quarterly deliveries &amp; production; shareholder deck incl. FSD active subscribers (where disclosed)</t>
  </si>
  <si>
    <t xml:space="preserve">Tesla Investor Relations</t>
  </si>
  <si>
    <t xml:space="preserve">https://ir.tesla.com/</t>
  </si>
  <si>
    <t xml:space="preserve">Deliveries press release ~2nd day after quarter end; shareholder deck with earnings</t>
  </si>
  <si>
    <t xml:space="preserve">HTML/PDF</t>
  </si>
  <si>
    <t xml:space="preserve">UI plots deliveries on their release date (~2nd day after quarter end), not quarter end. FSD active subscribers: quarterly, only where Tesla discloses it; may need manual entry if the deck is not structured</t>
  </si>
  <si>
    <t xml:space="preserve">2 events per quarter</t>
  </si>
  <si>
    <t xml:space="preserve">DS-53</t>
  </si>
  <si>
    <t xml:space="preserve">When CPUC posts quarterly AV data</t>
  </si>
  <si>
    <t xml:space="preserve">Passenger-carrying permits (Tesla TCP0046782-A) &amp; AV quarterly data</t>
  </si>
  <si>
    <t xml:space="preserve">California Public Utilities Commission (CPUC)</t>
  </si>
  <si>
    <t xml:space="preserve">https://www.cpuc.ca.gov/regulatory-services/licensing/transportation-licensing-and-analysis-branch/autonomous-vehicle-programs</t>
  </si>
  <si>
    <t xml:space="preserve">Quarterly AV program data reports (trips, miles, incidents) for deployment permit holders</t>
  </si>
  <si>
    <t xml:space="preserve">XLSX/PDF</t>
  </si>
  <si>
    <t xml:space="preserve">Bay Area service runs under charter-party (limo) permit, not AV deployment</t>
  </si>
  <si>
    <t xml:space="preserve">DS-75</t>
  </si>
  <si>
    <t xml:space="preserve">Day after SPCX earnings, 08:00</t>
  </si>
  <si>
    <t xml:space="preserve">Day after SPCX earnings, 05:00</t>
  </si>
  <si>
    <t xml:space="preserve">Backlog, Starlink subscribers, revenue by segment</t>
  </si>
  <si>
    <t xml:space="preserve">SEC EDGAR – SPCX 10-Q/10-K/8-K</t>
  </si>
  <si>
    <t xml:space="preserve">https://data.sec.gov/submissions/CIK{SPCX CIK}.json</t>
  </si>
  <si>
    <t xml:space="preserve">XBRL: /api/xbrl/companyfacts/CIK{SPCX CIK}.json; resolve CIK via company_tickers.json</t>
  </si>
  <si>
    <t xml:space="preserve">None (User-Agent)</t>
  </si>
  <si>
    <t xml:space="preserve">Remaining performance obligations = order backlog</t>
  </si>
  <si>
    <t xml:space="preserve">XBRL backlog/subscribers; 8-K watch covered by DS-06</t>
  </si>
  <si>
    <t xml:space="preserve">DS-52</t>
  </si>
  <si>
    <t xml:space="preserve">Annual</t>
  </si>
  <si>
    <t xml:space="preserve">A1</t>
  </si>
  <si>
    <t xml:space="preserve">On publication (early in the year); holiday lists each December</t>
  </si>
  <si>
    <t xml:space="preserve">—</t>
  </si>
  <si>
    <t xml:space="preserve">Annual disengagement &amp; mileage reports</t>
  </si>
  <si>
    <t xml:space="preserve">Web (XLSX/CSV)</t>
  </si>
  <si>
    <t xml:space="preserve">https://www.dmv.ca.gov/portal/vehicle-industry-services/autonomous-vehicles/disengagement-reports/</t>
  </si>
  <si>
    <t xml:space="preserve">Reporting period Dec 1–Nov 30; published early each year</t>
  </si>
  <si>
    <t xml:space="preserve">DS-83</t>
  </si>
  <si>
    <t xml:space="preserve">Official NYSE holiday &amp; early-close list</t>
  </si>
  <si>
    <t xml:space="preserve">NYSE</t>
  </si>
  <si>
    <t xml:space="preserve">https://www.nyse.com/markets/hours-calendars</t>
  </si>
  <si>
    <t xml:space="preserve">Published ~3 years ahead</t>
  </si>
  <si>
    <t xml:space="preserve">Annual check against the library</t>
  </si>
  <si>
    <t xml:space="preserve">December check of next year's list</t>
  </si>
  <si>
    <t xml:space="preserve">DS-84</t>
  </si>
  <si>
    <t xml:space="preserve">US bond-market (SIFMA) closures &amp; early closes</t>
  </si>
  <si>
    <t xml:space="preserve">SIFMA holiday recommendations</t>
  </si>
  <si>
    <t xml:space="preserve">https://www.sifma.org/resources/general/holiday-schedule/</t>
  </si>
  <si>
    <t xml:space="preserve">Governs Treasury yield &amp; NY Fed rate publication days</t>
  </si>
  <si>
    <t xml:space="preserve">Bond market closes on Columbus &amp; Veterans Day even though stocks trade</t>
  </si>
  <si>
    <t xml:space="preserve">December check</t>
  </si>
  <si>
    <t xml:space="preserve">DS-85</t>
  </si>
  <si>
    <t xml:space="preserve">US federal holidays (agency publishing days)</t>
  </si>
  <si>
    <t xml:space="preserve">US Office of Personnel Management (OPM)</t>
  </si>
  <si>
    <t xml:space="preserve">https://www.opm.gov/policy-data-oversight/pay-leave/federal-holidays/</t>
  </si>
  <si>
    <t xml:space="preserve">Annual check</t>
  </si>
  <si>
    <t xml:space="preserve">DS-86</t>
  </si>
  <si>
    <t xml:space="preserve">China public holidays &amp; weekend make-up workdays</t>
  </si>
  <si>
    <t xml:space="preserve">State Council General Office (gov.cn)</t>
  </si>
  <si>
    <t xml:space="preserve">https://www.gov.cn/zhengce/</t>
  </si>
  <si>
    <t xml:space="preserve">Annual holiday notice (usually Nov–Dec for the next year)</t>
  </si>
  <si>
    <t xml:space="preserve">Used to skip MOFCOM/MIIT sources on China holidays</t>
  </si>
  <si>
    <t xml:space="preserve">Check when the notice is published (usually Nov–Dec)</t>
  </si>
  <si>
    <t xml:space="preserve">DS-05</t>
  </si>
  <si>
    <t xml:space="preserve">One-time</t>
  </si>
  <si>
    <t xml:space="preserve">O1</t>
  </si>
  <si>
    <t xml:space="preserve">At setup + when a user adds a ticker</t>
  </si>
  <si>
    <t xml:space="preserve">5-year daily history backfill per ticker</t>
  </si>
  <si>
    <t xml:space="preserve">Yahoo Finance</t>
  </si>
  <si>
    <t xml:space="preserve">REST (unofficial)</t>
  </si>
  <si>
    <t xml:space="preserve">https://query1.finance.yahoo.com/v8/finance/chart/{TICKER}?interval=1d&amp;range=5y</t>
  </si>
  <si>
    <t xml:space="preserve">Python: yfinance; one call per ticker at setup (9 tickers) and again whenever a user adds a ticker</t>
  </si>
  <si>
    <t xml:space="preserve">Unofficial, no SLA, may throttle. Used only for one-time backfill (not polled); adjusted closes – store split/dividend-adjusted and raw</t>
  </si>
  <si>
    <t xml:space="preserve">5-year daily backfill: one call per ticker (9 at setup); no recurring calls</t>
  </si>
  <si>
    <t xml:space="preserve">DS-07</t>
  </si>
  <si>
    <t xml:space="preserve">At setup</t>
  </si>
  <si>
    <t xml:space="preserve">Pre-IPO tender/secondary price history (historical only)</t>
  </si>
  <si>
    <t xml:space="preserve">Forge Global / Nasdaq Private Market</t>
  </si>
  <si>
    <t xml:space="preserve">https://forgeglobal.com/spacex_stock/ ; https://www.nasdaqprivatemarket.com/company/spacex/</t>
  </si>
  <si>
    <t xml:space="preserve">One-time backfill of pre-IPO valuations</t>
  </si>
  <si>
    <t xml:space="preserve">Account for detail</t>
  </si>
  <si>
    <t xml:space="preserve">Free summary</t>
  </si>
  <si>
    <t xml:space="preserve">Reference</t>
  </si>
  <si>
    <t xml:space="preserve">Only needed for pre-June-2026 history</t>
  </si>
  <si>
    <t xml:space="preserve">Pre-IPO history only</t>
  </si>
  <si>
    <t xml:space="preserve">DS-03</t>
  </si>
  <si>
    <t xml:space="preserve">Failover only</t>
  </si>
  <si>
    <t xml:space="preserve">F1</t>
  </si>
  <si>
    <t xml:space="preserve">Only when the primary source fails</t>
  </si>
  <si>
    <t xml:space="preserve">Latest quote; daily series</t>
  </si>
  <si>
    <t xml:space="preserve">Alpha Vantage</t>
  </si>
  <si>
    <t xml:space="preserve">https://www.alphavantage.co/query?function=GLOBAL_QUOTE&amp;symbol=TSLA&amp;apikey={KEY}</t>
  </si>
  <si>
    <t xml:space="preserve">Hourly GLOBAL_QUOTE for TSLA+SPCX ≈ 14 calls/day; TIME_SERIES_DAILY for EOD</t>
  </si>
  <si>
    <t xml:space="preserve">Free 25 req/day; paid tiers</t>
  </si>
  <si>
    <t xml:space="preserve">FREE-TIER IMPACT: shares the 25 calls/day free limit with DS-40 news; only used if Alpaca and Massive both fail.</t>
  </si>
  <si>
    <t xml:space="preserve">DS-04</t>
  </si>
  <si>
    <t xml:space="preserve">Quote</t>
  </si>
  <si>
    <t xml:space="preserve">https://finnhub.io/api/v1/quote?symbol=TSLA&amp;token={KEY}</t>
  </si>
  <si>
    <t xml:space="preserve">One call per ticker per hour</t>
  </si>
  <si>
    <t xml:space="preserve">Free 60 req/min</t>
  </si>
  <si>
    <t xml:space="preserve">FREE-TIER IMPACT: none – free 60 calls/min covers failover quotes.</t>
  </si>
  <si>
    <t xml:space="preserve">DS-23</t>
  </si>
  <si>
    <t xml:space="preserve">CPI, core CPI, PCE, core PCE, breakeven inflation</t>
  </si>
  <si>
    <t xml:space="preserve">https://api.stlouisfed.org/fred/series/observations?series_id=CPIAUCSL&amp;api_key={KEY}&amp;file_type=json</t>
  </si>
  <si>
    <t xml:space="preserve">CPIAUCSL, CPILFESL, PCEPI, PCEPILFE, T10YIE</t>
  </si>
  <si>
    <t xml:space="preserve">FRED release dates: /fred/release/dates?release_id=10 (CPI)</t>
  </si>
  <si>
    <t xml:space="preserve">Backup for BLS/BEA</t>
  </si>
  <si>
    <t xml:space="preserve">DS-42</t>
  </si>
  <si>
    <t xml:space="preserve">Ticker news</t>
  </si>
  <si>
    <t xml:space="preserve">Massive (Polygon) News</t>
  </si>
  <si>
    <t xml:space="preserve">https://api.massive.com/v2/reference/news?ticker=TSLA&amp;limit=50</t>
  </si>
  <si>
    <t xml:space="preserve">Includes per-ticker sentiment insights</t>
  </si>
  <si>
    <t xml:space="preserve">Included in plan</t>
  </si>
  <si>
    <t xml:space="preserve">DS-87</t>
  </si>
  <si>
    <t xml:space="preserve">Public holidays by country (backup)</t>
  </si>
  <si>
    <t xml:space="preserve">Nager.Date API</t>
  </si>
  <si>
    <t xml:space="preserve">https://date.nager.at/api/v3/PublicHolidays/{year}/{US|CN|NL}</t>
  </si>
  <si>
    <t xml:space="preserve">Only if the Python library is unavailable</t>
  </si>
  <si>
    <t xml:space="preserve">US, CN, NL</t>
  </si>
  <si>
    <t xml:space="preserve">Same as primary</t>
  </si>
  <si>
    <t xml:space="preserve">DS-91</t>
  </si>
  <si>
    <t xml:space="preserve">Daily index closes (fallback for ETF proxies): S&amp;P 500, Dow, Nasdaq-100</t>
  </si>
  <si>
    <t xml:space="preserve">https://api.stlouisfed.org/fred/series/observations?series_id=SP500&amp;api_key={KEY}&amp;file_type=json</t>
  </si>
  <si>
    <t xml:space="preserve">series_id = SP500, DJIA, NASDAQ100 (Russell 2000 and sector indexes not on FRED – use DS-01/DS-05)</t>
  </si>
  <si>
    <t xml:space="preserve">Index levels, not ETF prices; one-day lag. Used only if Alpaca and Massive both fail</t>
  </si>
  <si>
    <t xml:space="preserve">SP500, DJIA, NASDAQ100</t>
  </si>
  <si>
    <t xml:space="preserve">DS-20</t>
  </si>
  <si>
    <t xml:space="preserve">Not used / merged</t>
  </si>
  <si>
    <t xml:space="preserve">X0</t>
  </si>
  <si>
    <t xml:space="preserve">See Schedule Note</t>
  </si>
  <si>
    <t xml:space="preserve">Atlanta Fed Market Probability Tracker (DS-88) + Kalshi Fed-decision odds (DS-89)</t>
  </si>
  <si>
    <t xml:space="preserve">Market-implied rate-change probabilities</t>
  </si>
  <si>
    <t xml:space="preserve">CME FedWatch</t>
  </si>
  <si>
    <t xml:space="preserve">Web / paid API</t>
  </si>
  <si>
    <t xml:space="preserve">https://www.cmegroup.com/markets/interest-rates/cme-fedwatch-tool.html</t>
  </si>
  <si>
    <t xml:space="preserve">API via CME DataMine / FedWatch API subscription</t>
  </si>
  <si>
    <t xml:space="preserve">Subscription for API</t>
  </si>
  <si>
    <t xml:space="preserve">Paid API; web free</t>
  </si>
  <si>
    <t xml:space="preserve">HTML/JSON</t>
  </si>
  <si>
    <t xml:space="preserve">Not used (paid)</t>
  </si>
  <si>
    <t xml:space="preserve">FREE-TIER IMPACT: paid API dropped. Meeting-by-meeting FedWatch odds are no longer collected; replaced by Atlanta Fed quarterly-horizon probabilities (DS-88) and Kalshi meeting odds (DS-89).</t>
  </si>
  <si>
    <t xml:space="preserve">Paid API not used – replaced by DS-88 (Atlanta Fed) and DS-89 (Kalshi)</t>
  </si>
  <si>
    <t xml:space="preserve">DS-25</t>
  </si>
  <si>
    <t xml:space="preserve">Release dates: BLS schedule (DS-22) + FRED releases (DS-26). Expectations: Cleveland Fed nowcast (DS-90) + Kalshi CPI odds (DS-89)</t>
  </si>
  <si>
    <t xml:space="preserve">Upcoming macro releases w/ consensus vs actual</t>
  </si>
  <si>
    <t xml:space="preserve">https://finnhub.io/api/v1/calendar/economic?token={KEY}</t>
  </si>
  <si>
    <t xml:space="preserve">Paid (premium endpoint)</t>
  </si>
  <si>
    <t xml:space="preserve">FREE-TIER IMPACT: paid calendar dropped. No consensus forecasts: release dates come from DS-22/DS-26 and expectations from the Cleveland Fed nowcast (DS-90), so 'surprise' is measured vs a model, not analysts.</t>
  </si>
  <si>
    <t xml:space="preserve">Paid calendar not used – dates from DS-22/DS-26, expectations from DS-90 (and DS-89)</t>
  </si>
  <si>
    <t xml:space="preserve">DS-43</t>
  </si>
  <si>
    <t xml:space="preserve">Dropped – Finnhub company news (DS-41) + Google News RSS (DS-44)</t>
  </si>
  <si>
    <t xml:space="preserve">Broad headline search</t>
  </si>
  <si>
    <t xml:space="preserve">NewsAPI</t>
  </si>
  <si>
    <t xml:space="preserve">https://newsapi.org/v2/everything?q=Tesla OR SpaceX&amp;sortBy=publishedAt&amp;apiKey={KEY}</t>
  </si>
  <si>
    <t xml:space="preserve">Free dev (24h delay); paid prod</t>
  </si>
  <si>
    <t xml:space="preserve">FREE-TIER IMPACT: not used. Free Developer tier is 24h delayed and not licensed for production; news comes from Finnhub (DS-41) and Google News RSS (DS-44).</t>
  </si>
  <si>
    <t xml:space="preserve">Not used – free tier is 24h delayed and not licensed for production; news covered by DS-41, DS-44</t>
  </si>
  <si>
    <t xml:space="preserve">DS-49</t>
  </si>
  <si>
    <t xml:space="preserve">FMVSS exemptions (Cybercab has no steering wheel/pedals)</t>
  </si>
  <si>
    <t xml:space="preserve">NHTSA via Federal Register API</t>
  </si>
  <si>
    <t xml:space="preserve">https://www.federalregister.gov/api/v1/documents.json?conditions[term]=Tesla exemption&amp;conditions[agencies][]=national-highway-traffic-safety-administration</t>
  </si>
  <si>
    <t xml:space="preserve">Also AV framework rulemakings (AV STEP)</t>
  </si>
  <si>
    <t xml:space="preserve">Exemption cap limits Cybercab volume</t>
  </si>
  <si>
    <t xml:space="preserve">Covered by DS-27 Federal Register query</t>
  </si>
  <si>
    <t xml:space="preserve">DS-78</t>
  </si>
  <si>
    <t xml:space="preserve">SPCX ticker news + sentiment</t>
  </si>
  <si>
    <t xml:space="preserve">Finnhub / Alpha Vantage / Massive</t>
  </si>
  <si>
    <t xml:space="preserve">https://finnhub.io/api/v1/company-news?symbol=SPCX&amp;from={d}&amp;to={d}&amp;token={KEY}</t>
  </si>
  <si>
    <t xml:space="preserve">AV: function=NEWS_SENTIMENT&amp;tickers=SPCX</t>
  </si>
  <si>
    <t xml:space="preserve">Free tiers</t>
  </si>
  <si>
    <t xml:space="preserve">Reuse existing news agents with SPCX ticker</t>
  </si>
  <si>
    <t xml:space="preserve">SPCX added to DS-40/DS-41 calls</t>
  </si>
  <si>
    <t xml:space="preserve">DS-79</t>
  </si>
  <si>
    <t xml:space="preserve">Headline RSS (SpaceX, Starship, Starlink, NASA contract)</t>
  </si>
  <si>
    <t xml:space="preserve">https://news.google.com/rss/search?q=SpaceX+OR+Starlink+OR+Starship&amp;hl=en-US&amp;gl=US&amp;ceid=US:en</t>
  </si>
  <si>
    <t xml:space="preserve">Robotaxi feed: q=Tesla+Robotaxi+OR+Cybercab</t>
  </si>
  <si>
    <t xml:space="preserve">Covered by DS-44 Google News RSS queries</t>
  </si>
  <si>
    <t xml:space="preserve">Monthly data cost by priority</t>
  </si>
  <si>
    <t xml:space="preserve">Meaning</t>
  </si>
  <si>
    <t xml:space="preserve"># Sources</t>
  </si>
  <si>
    <t xml:space="preserve">Current ($/mo)</t>
  </si>
  <si>
    <t xml:space="preserve">Worst Case – all paid plans ($/mo)</t>
  </si>
  <si>
    <t xml:space="preserve">Expected ($/mo, probability-weighted)</t>
  </si>
  <si>
    <t xml:space="preserve">Must-have: dashboard is wrong or incomplete without it</t>
  </si>
  <si>
    <t xml:space="preserve">Should-have: improves signal; dashboard works without it</t>
  </si>
  <si>
    <t xml:space="preserve">Nice-to-have / backup / cross-check</t>
  </si>
  <si>
    <t xml:space="preserve">TOTAL</t>
  </si>
  <si>
    <t xml:space="preserve">Paid upgrades declined – free replacements in use</t>
  </si>
  <si>
    <t xml:space="preserve">Paid Plan Declined</t>
  </si>
  <si>
    <t xml:space="preserve">Price Avoided ($/mo)</t>
  </si>
  <si>
    <t xml:space="preserve">Free Replacement / How the Free Tier Is Used</t>
  </si>
  <si>
    <t xml:space="preserve">FMP Premium / Finnhub premium economic calendar</t>
  </si>
  <si>
    <t xml:space="preserve">Massive Stocks Starter</t>
  </si>
  <si>
    <t xml:space="preserve">CME FedWatch API – end of day</t>
  </si>
  <si>
    <t xml:space="preserve">Alpha Vantage Premium</t>
  </si>
  <si>
    <t xml:space="preserve">Alpaca Algo Trader Plus (SIP feed)</t>
  </si>
  <si>
    <t xml:space="preserve">NewsAPI Business</t>
  </si>
  <si>
    <t xml:space="preserve">Launch Library 2 Patreon tier (est.)</t>
  </si>
  <si>
    <t xml:space="preserve">ACLED Partner/Enterprise (unpriced)</t>
  </si>
  <si>
    <t xml:space="preserve">TOTAL AVOIDED</t>
  </si>
  <si>
    <t xml:space="preserve">Policy (2026-10-03): $0 data budget – every source runs on its free tier. Paid Plan Cost and Likelihood of Paying are 0 on every row; to reconsider an upgrade, enter its price and likelihood on Data Sources and these totals recalculate.</t>
  </si>
  <si>
    <t xml:space="preserve">Trade-offs accepted: IEX-only volume (prices unaffected); quarterly-horizon rate odds from Atlanta Fed plus prediction-market odds instead of FedWatch meeting odds; Cleveland Fed nowcast instead of Wall Street consensus for CPI surprise; news capped at free limits.</t>
  </si>
  <si>
    <t xml:space="preserve">Prices checked 2026-10-03 from provider pricing pages / published summaries. FMP price is billed annually; Launch Library tier price is an estimate; ACLED commercial pricing is unpublished (excluded).</t>
  </si>
  <si>
    <t xml:space="preserve">Not included: hosting, database and scheduler costs for running the agents.</t>
  </si>
  <si>
    <t xml:space="preserve">Job</t>
  </si>
  <si>
    <t xml:space="preserve">Job Name</t>
  </si>
  <si>
    <t xml:space="preserve">Days</t>
  </si>
  <si>
    <t xml:space="preserve">Source IDs</t>
  </si>
  <si>
    <t xml:space="preserve">Calls / Run (sum)</t>
  </si>
  <si>
    <t xml:space="preserve">Avg Calls / Day</t>
  </si>
  <si>
    <t xml:space="preserve">Writes To</t>
  </si>
  <si>
    <t xml:space="preserve">Market prices</t>
  </si>
  <si>
    <t xml:space="preserve">NYSE trading days only</t>
  </si>
  <si>
    <t xml:space="preserve">prices_hourly (1-hour bars; last run = daily close)</t>
  </si>
  <si>
    <t xml:space="preserve">News &amp; sentiment</t>
  </si>
  <si>
    <t xml:space="preserve">NYSE trading days only; first run after a weekend/holiday pulls everything since the last run</t>
  </si>
  <si>
    <t xml:space="preserve">DS-35, DS-40, DS-41, DS-44, DS-77</t>
  </si>
  <si>
    <t xml:space="preserve">news_articles (dedupe on URL hash)</t>
  </si>
  <si>
    <t xml:space="preserve">Regulatory &amp; company feeds</t>
  </si>
  <si>
    <t xml:space="preserve">US federal business days; catch-up on first run after a gap</t>
  </si>
  <si>
    <t xml:space="preserve">DS-06, DS-08, DS-09, DS-10, DS-18, DS-27, DS-28, DS-29, DS-72</t>
  </si>
  <si>
    <t xml:space="preserve">events (event_ts, type, source_url) + filings</t>
  </si>
  <si>
    <t xml:space="preserve">Morning macro &amp; calendars</t>
  </si>
  <si>
    <t xml:space="preserve">US federal business days</t>
  </si>
  <si>
    <t xml:space="preserve">DS-13, DS-15, DS-16, DS-26, DS-39, DS-45, DS-88</t>
  </si>
  <si>
    <t xml:space="preserve">macro_daily, release_calendar</t>
  </si>
  <si>
    <t xml:space="preserve">Regulatory &amp; operations sweep</t>
  </si>
  <si>
    <t xml:space="preserve">US federal business days; China/NL sources skipped on their own holidays</t>
  </si>
  <si>
    <t xml:space="preserve">DS-31, DS-32, DS-33, DS-37, DS-47, DS-48, DS-60, DS-61, DS-64, DS-65, DS-71, DS-74, DS-76</t>
  </si>
  <si>
    <t xml:space="preserve">events, robotaxi_fleet, launches</t>
  </si>
  <si>
    <t xml:space="preserve">Overnight rates</t>
  </si>
  <si>
    <t xml:space="preserve">macro_daily</t>
  </si>
  <si>
    <t xml:space="preserve">Market close</t>
  </si>
  <si>
    <t xml:space="preserve">US bond-market (SIFMA) business days</t>
  </si>
  <si>
    <t xml:space="preserve">DS-01, DS-14, DS-89, DS-90, DS-93</t>
  </si>
  <si>
    <t xml:space="preserve">macro_daily (yield curve, FedWatch odds)</t>
  </si>
  <si>
    <t xml:space="preserve">Government contracts</t>
  </si>
  <si>
    <t xml:space="preserve">DS-67, DS-68, DS-69, DS-70</t>
  </si>
  <si>
    <t xml:space="preserve">contracts (award_id, agency, obligated $)</t>
  </si>
  <si>
    <t xml:space="preserve">Weekly sweep</t>
  </si>
  <si>
    <t xml:space="preserve">Monday; if Monday is a US federal holiday, runs the next business day</t>
  </si>
  <si>
    <t xml:space="preserve">DS-30, DS-36, DS-38, DS-50, DS-51, DS-54, DS-55, DS-56, DS-57, DS-58, DS-59, DS-62, DS-63, DS-66, DS-73</t>
  </si>
  <si>
    <t xml:space="preserve">events, robotaxi_fleet, risk_indices</t>
  </si>
  <si>
    <t xml:space="preserve">Release-triggered</t>
  </si>
  <si>
    <t xml:space="preserve">At release time (see Run Time); dates come from D1 calendars</t>
  </si>
  <si>
    <t xml:space="preserve">3 hours earlier than ET</t>
  </si>
  <si>
    <t xml:space="preserve">Release days only (agencies don't release on holidays)</t>
  </si>
  <si>
    <t xml:space="preserve">DS-19, DS-21, DS-22, DS-24, DS-34, DS-46, DS-92</t>
  </si>
  <si>
    <t xml:space="preserve">releases (actual, consensus, surprise, release_ts)</t>
  </si>
  <si>
    <t xml:space="preserve">Calendar refresh</t>
  </si>
  <si>
    <t xml:space="preserve">1st US federal business day of month</t>
  </si>
  <si>
    <t xml:space="preserve">DS-80, DS-81, DS-82</t>
  </si>
  <si>
    <t xml:space="preserve">calendar_days (date, calendar, is_open, close_time)</t>
  </si>
  <si>
    <t xml:space="preserve">Earnings &amp; quarterly reports</t>
  </si>
  <si>
    <t xml:space="preserve">Earnings day 16:35 + next day 08:00</t>
  </si>
  <si>
    <t xml:space="preserve">13:35 + next day 05:00</t>
  </si>
  <si>
    <t xml:space="preserve">Earnings / quarter-end (NYSE trading days)</t>
  </si>
  <si>
    <t xml:space="preserve">DS-11, DS-12, DS-53, DS-75</t>
  </si>
  <si>
    <t xml:space="preserve">fundamentals_quarterly</t>
  </si>
  <si>
    <t xml:space="preserve">Annual reports &amp; holiday lists</t>
  </si>
  <si>
    <t xml:space="preserve">Once a year</t>
  </si>
  <si>
    <t xml:space="preserve">DS-52, DS-83, DS-84, DS-85, DS-86</t>
  </si>
  <si>
    <t xml:space="preserve">robotaxi_fleet (annual), calendar_days</t>
  </si>
  <si>
    <t xml:space="preserve">Historical backfill</t>
  </si>
  <si>
    <t xml:space="preserve">Once</t>
  </si>
  <si>
    <t xml:space="preserve">DS-05, DS-07</t>
  </si>
  <si>
    <t xml:space="preserve">history tables</t>
  </si>
  <si>
    <t xml:space="preserve">Backup sources</t>
  </si>
  <si>
    <t xml:space="preserve">On failure (same calendar as primary)</t>
  </si>
  <si>
    <t xml:space="preserve">DS-03, DS-04, DS-23, DS-42, DS-87, DS-91</t>
  </si>
  <si>
    <t xml:space="preserve">same table as primary</t>
  </si>
  <si>
    <t xml:space="preserve">Not collected (paid) or merged into another call</t>
  </si>
  <si>
    <t xml:space="preserve">DS-20, DS-25, DS-43, DS-49, DS-78, DS-79</t>
  </si>
  <si>
    <t xml:space="preserve">Free-tier limit check (typical day, after batching)</t>
  </si>
  <si>
    <t xml:space="preserve">Provider</t>
  </si>
  <si>
    <t xml:space="preserve">Free limit</t>
  </si>
  <si>
    <t xml:space="preserve">Our peak calls / day</t>
  </si>
  <si>
    <t xml:space="preserve">Headroom</t>
  </si>
  <si>
    <t xml:space="preserve">Alpaca (free IEX + indicative options)</t>
  </si>
  <si>
    <t xml:space="preserve">200 calls/min</t>
  </si>
  <si>
    <t xml:space="preserve">OK</t>
  </si>
  <si>
    <t xml:space="preserve">DS-02 (7), DS-93 (2)</t>
  </si>
  <si>
    <t xml:space="preserve">Massive (free Basic)</t>
  </si>
  <si>
    <t xml:space="preserve">5 calls/min</t>
  </si>
  <si>
    <t xml:space="preserve">DS-01 (throttled: max 5/min)</t>
  </si>
  <si>
    <t xml:space="preserve">FINRA API (free)</t>
  </si>
  <si>
    <t xml:space="preserve">Not published – 1 call per publication</t>
  </si>
  <si>
    <t xml:space="preserve">DS-92 (2/month)</t>
  </si>
  <si>
    <t xml:space="preserve">Kalshi (public data)</t>
  </si>
  <si>
    <t xml:space="preserve">~20 calls/sec</t>
  </si>
  <si>
    <t xml:space="preserve">25 calls/day</t>
  </si>
  <si>
    <t xml:space="preserve">Finnhub (free)</t>
  </si>
  <si>
    <t xml:space="preserve">60 calls/min</t>
  </si>
  <si>
    <t xml:space="preserve">DS-13, DS-41</t>
  </si>
  <si>
    <t xml:space="preserve">SAM.gov (basic key)</t>
  </si>
  <si>
    <t xml:space="preserve">10 calls/day</t>
  </si>
  <si>
    <t xml:space="preserve">DS-68, DS-69</t>
  </si>
  <si>
    <t xml:space="preserve">Launch Library 2</t>
  </si>
  <si>
    <t xml:space="preserve">15 calls/hour</t>
  </si>
  <si>
    <t xml:space="preserve">OK — 1 call/hour vs 15/hour</t>
  </si>
  <si>
    <t xml:space="preserve">DS-08 (1/hour)</t>
  </si>
  <si>
    <t xml:space="preserve">120 calls/min</t>
  </si>
  <si>
    <t xml:space="preserve">DS-15, 16, 39, 45</t>
  </si>
  <si>
    <t xml:space="preserve">10 calls/sec</t>
  </si>
  <si>
    <t xml:space="preserve">DS-06, DS-10</t>
  </si>
  <si>
    <t xml:space="preserve">BLS (with key)</t>
  </si>
  <si>
    <t xml:space="preserve">500 calls/day</t>
  </si>
  <si>
    <t xml:space="preserve">DS-21 (release days)</t>
  </si>
  <si>
    <t xml:space="preserve">Date</t>
  </si>
  <si>
    <t xml:space="preserve">Day</t>
  </si>
  <si>
    <t xml:space="preserve">Calendar</t>
  </si>
  <si>
    <t xml:space="preserve">Holiday / Event</t>
  </si>
  <si>
    <t xml:space="preserve">Jobs Affected</t>
  </si>
  <si>
    <t xml:space="preserve">Sources Affected</t>
  </si>
  <si>
    <t xml:space="preserve">Mon</t>
  </si>
  <si>
    <t xml:space="preserve">CN</t>
  </si>
  <si>
    <t xml:space="preserve">China holiday – National Day (observed)</t>
  </si>
  <si>
    <t xml:space="preserve">D2 skips China sources</t>
  </si>
  <si>
    <t xml:space="preserve">DS-33, DS-59</t>
  </si>
  <si>
    <t xml:space="preserve">Tue</t>
  </si>
  <si>
    <t xml:space="preserve">China holiday – Day off (substituted from 09/20/2026)</t>
  </si>
  <si>
    <t xml:space="preserve">Wed</t>
  </si>
  <si>
    <t xml:space="preserve">China holiday – Day off (substituted from 10/10/2026)</t>
  </si>
  <si>
    <t xml:space="preserve">Sat</t>
  </si>
  <si>
    <t xml:space="preserve">China make-up workday (weekend working day)</t>
  </si>
  <si>
    <t xml:space="preserve">No US job runs on weekends; China sources picked up next US business day</t>
  </si>
  <si>
    <t xml:space="preserve">US-BOND</t>
  </si>
  <si>
    <t xml:space="preserve">Bond market closed (SIFMA) – Columbus Day</t>
  </si>
  <si>
    <t xml:space="preserve">D4 skips</t>
  </si>
  <si>
    <t xml:space="preserve">DS-14, DS-20</t>
  </si>
  <si>
    <t xml:space="preserve">US-FED</t>
  </si>
  <si>
    <t xml:space="preserve">US federal holiday – Columbus Day</t>
  </si>
  <si>
    <t xml:space="preserve">H3, D1, D2, D3, D5 skip – W1 moves to Tue</t>
  </si>
  <si>
    <t xml:space="preserve">All US-FED sources</t>
  </si>
  <si>
    <t xml:space="preserve">Bond market closed (SIFMA) – Veterans Day</t>
  </si>
  <si>
    <t xml:space="preserve">US federal holiday – Veterans Day</t>
  </si>
  <si>
    <t xml:space="preserve">H3, D1, D2, D3, D5 skip</t>
  </si>
  <si>
    <t xml:space="preserve">Thu</t>
  </si>
  <si>
    <t xml:space="preserve">Bond market closed (SIFMA) – Thanksgiving Day</t>
  </si>
  <si>
    <t xml:space="preserve">US federal holiday – Thanksgiving Day</t>
  </si>
  <si>
    <t xml:space="preserve">US-MKT</t>
  </si>
  <si>
    <t xml:space="preserve">NYSE closed – Thanksgiving Day</t>
  </si>
  <si>
    <t xml:space="preserve">H1, H2, Q1 skip</t>
  </si>
  <si>
    <t xml:space="preserve">All US-MKT sources</t>
  </si>
  <si>
    <t xml:space="preserve">Fri</t>
  </si>
  <si>
    <t xml:space="preserve">NYSE early close (13:00 ET)</t>
  </si>
  <si>
    <t xml:space="preserve">H1 runs 10:05–13:05 ET only (last run = close)</t>
  </si>
  <si>
    <t xml:space="preserve">DS-01 and backups</t>
  </si>
  <si>
    <t xml:space="preserve">NL</t>
  </si>
  <si>
    <t xml:space="preserve">Netherlands holiday – Christmas Day</t>
  </si>
  <si>
    <t xml:space="preserve">No job affected (RDW is weekly, Monday)</t>
  </si>
  <si>
    <t xml:space="preserve">Bond market closed (SIFMA) – Christmas Day</t>
  </si>
  <si>
    <t xml:space="preserve">US federal holiday – Christmas Day</t>
  </si>
  <si>
    <t xml:space="preserve">NYSE closed – Christmas Day</t>
  </si>
  <si>
    <t xml:space="preserve">China holiday – New Year's Day (provisional until State Council notice)</t>
  </si>
  <si>
    <t xml:space="preserve">Netherlands holiday – New Year's Day</t>
  </si>
  <si>
    <t xml:space="preserve">Bond market closed (SIFMA) – New Year's Day</t>
  </si>
  <si>
    <t xml:space="preserve">US federal holiday – New Year's Day</t>
  </si>
  <si>
    <t xml:space="preserve">NYSE closed – New Year's Day</t>
  </si>
  <si>
    <t xml:space="preserve">Bond market closed (SIFMA) – Martin Luther King Jr. Day</t>
  </si>
  <si>
    <t xml:space="preserve">US federal holiday – Martin Luther King Jr. Day</t>
  </si>
  <si>
    <t xml:space="preserve">NYSE closed – Martin Luther King Jr. Day</t>
  </si>
  <si>
    <t xml:space="preserve">China holiday – Chinese New Year's Eve (provisional until State Council notice)</t>
  </si>
  <si>
    <t xml:space="preserve">China holiday – Chinese New Year (Spring Festival) (provisional until State Council notice)</t>
  </si>
  <si>
    <t xml:space="preserve">China holiday – Chinese New Year (Spring Festival) (observed) (provisional until State Council notice)</t>
  </si>
  <si>
    <t xml:space="preserve">Bond market closed (SIFMA) – Washington's Birthday</t>
  </si>
  <si>
    <t xml:space="preserve">US federal holiday – Washington's Birthday</t>
  </si>
  <si>
    <t xml:space="preserve">NYSE closed – Washington's Birthday</t>
  </si>
  <si>
    <t xml:space="preserve">Netherlands holiday – Good Friday</t>
  </si>
  <si>
    <t xml:space="preserve">Good Friday – bond market normally closed (confirm SIFMA notice)</t>
  </si>
  <si>
    <t xml:space="preserve">NYSE closed – Good Friday</t>
  </si>
  <si>
    <t xml:space="preserve">Netherlands holiday – Easter Monday</t>
  </si>
  <si>
    <t xml:space="preserve">W1 skips RDW if Monday (picked up next week)</t>
  </si>
  <si>
    <t xml:space="preserve">China holiday – Tomb-Sweeping Day (provisional until State Council notice)</t>
  </si>
  <si>
    <t xml:space="preserve">Netherlands holiday – King's Day</t>
  </si>
  <si>
    <t xml:space="preserve">China holiday – Labor Day (observed) (provisional until State Council notice)</t>
  </si>
  <si>
    <t xml:space="preserve">Netherlands holiday – Ascension Day</t>
  </si>
  <si>
    <t xml:space="preserve">Netherlands holiday – Pentecost Monday</t>
  </si>
  <si>
    <t xml:space="preserve">Bond market closed (SIFMA) – Memorial Day</t>
  </si>
  <si>
    <t xml:space="preserve">US federal holiday – Memorial Day</t>
  </si>
  <si>
    <t xml:space="preserve">NYSE closed – Memorial Day</t>
  </si>
  <si>
    <t xml:space="preserve">China holiday – Dragon Boat Festival (provisional until State Council notice)</t>
  </si>
  <si>
    <t xml:space="preserve">Bond market closed (SIFMA) – Juneteenth National Independence Day (observed)</t>
  </si>
  <si>
    <t xml:space="preserve">US federal holiday – Juneteenth National Independence Day (observed)</t>
  </si>
  <si>
    <t xml:space="preserve">NYSE closed – Juneteenth National Independence Day (observed)</t>
  </si>
  <si>
    <t xml:space="preserve">Bond market closed (SIFMA) – Independence Day (observed)</t>
  </si>
  <si>
    <t xml:space="preserve">US federal holiday – Independence Day (observed)</t>
  </si>
  <si>
    <t xml:space="preserve">NYSE closed – Independence Day (observed)</t>
  </si>
  <si>
    <t xml:space="preserve">Bond market closed (SIFMA) – Labor Day</t>
  </si>
  <si>
    <t xml:space="preserve">US federal holiday – Labor Day</t>
  </si>
  <si>
    <t xml:space="preserve">NYSE closed – Labor Day</t>
  </si>
  <si>
    <t xml:space="preserve">China holiday – Mid-Autumn Festival (provisional until State Council notice)</t>
  </si>
  <si>
    <t xml:space="preserve">China holiday – National Day (provisional until State Council notice)</t>
  </si>
  <si>
    <t xml:space="preserve">China holiday – National Day (observed) (provisional until State Council notice)</t>
  </si>
  <si>
    <t xml:space="preserve">Bond market closed (SIFMA) – Christmas Day (observed)</t>
  </si>
  <si>
    <t xml:space="preserve">US federal holiday – Christmas Day (observed)</t>
  </si>
  <si>
    <t xml:space="preserve">NYSE closed – Christmas Day (observed)</t>
  </si>
  <si>
    <t xml:space="preserve">Bond market closed (SIFMA) – New Year's Day (observed)</t>
  </si>
  <si>
    <t xml:space="preserve">US federal holiday – New Year's Day (observed)</t>
  </si>
  <si>
    <t xml:space="preserve">Rule: no job runs on Saturday or Sunday. Each job also skips the holidays of the calendar named on its row in Data Sources / Batch Schedule.</t>
  </si>
  <si>
    <t xml:space="preserve">Generated 2026-10-03 from exchange_calendars (NYSE) and the holidays library (US federal, China, Netherlands). The agents use the same libraries at run time (DS-80, DS-81), so this list is for reference.</t>
  </si>
  <si>
    <t xml:space="preserve">US-FED holidays that fall on a weekday but not NYSE holidays (Columbus Day, Veterans Day): stock jobs run, federal and bond jobs skip.</t>
  </si>
  <si>
    <t xml:space="preserve">China 2027 dates are the library's projection; replace with the State Council notice when published (usually Nov–Dec 2026).</t>
  </si>
  <si>
    <t xml:space="preserve">Weekend-only holidays are not listed because nothing runs on weekends anyway.</t>
  </si>
  <si>
    <t xml:space="preserve">Release</t>
  </si>
  <si>
    <t xml:space="preserve">Reference / Settlement Date</t>
  </si>
  <si>
    <t xml:space="preserve">Due Date</t>
  </si>
  <si>
    <t xml:space="preserve">Publication Date (collect)</t>
  </si>
  <si>
    <t xml:space="preserve">FINRA short interest</t>
  </si>
  <si>
    <t xml:space="preserve">M1 (08:00 ET next business day if after hours)</t>
  </si>
  <si>
    <t xml:space="preserve">FINRA short interest – rest of 2027</t>
  </si>
  <si>
    <t xml:space="preserve">Pending</t>
  </si>
  <si>
    <t xml:space="preserve">Mid-month and month-end settlements; FINRA publishes the next year's schedule late in the year – add when published</t>
  </si>
  <si>
    <t xml:space="preserve">CPI, PCE, trade, FOMC</t>
  </si>
  <si>
    <t xml:space="preserve">Pulled automatically each morning by D1 from BLS schedule (DS-22) and FRED releases (DS-26)</t>
  </si>
  <si>
    <t xml:space="preserve">DS-21, DS-24, DS-34</t>
  </si>
  <si>
    <t xml:space="preserve">Tesla deliveries</t>
  </si>
  <si>
    <t xml:space="preserve">Quarter end</t>
  </si>
  <si>
    <t xml:space="preserve">~2nd day after quarter end (UI plots on this release date)</t>
  </si>
  <si>
    <t xml:space="preserve">Series / Code</t>
  </si>
  <si>
    <t xml:space="preserve">Description</t>
  </si>
  <si>
    <t xml:space="preserve">Frequency</t>
  </si>
  <si>
    <t xml:space="preserve">DGS2</t>
  </si>
  <si>
    <t xml:space="preserve">2-Year Treasury yield</t>
  </si>
  <si>
    <t xml:space="preserve">DGS10</t>
  </si>
  <si>
    <t xml:space="preserve">10-Year Treasury yield</t>
  </si>
  <si>
    <t xml:space="preserve">DGS30</t>
  </si>
  <si>
    <t xml:space="preserve">30-Year Treasury yield</t>
  </si>
  <si>
    <t xml:space="preserve">T10Y2Y</t>
  </si>
  <si>
    <t xml:space="preserve">10Y minus 2Y spread</t>
  </si>
  <si>
    <t xml:space="preserve">DFII10</t>
  </si>
  <si>
    <t xml:space="preserve">10-Year TIPS (real) yield</t>
  </si>
  <si>
    <t xml:space="preserve">DFEDTARU</t>
  </si>
  <si>
    <t xml:space="preserve">Fed funds target – upper</t>
  </si>
  <si>
    <t xml:space="preserve">DFEDTARL</t>
  </si>
  <si>
    <t xml:space="preserve">Fed funds target – lower</t>
  </si>
  <si>
    <t xml:space="preserve">EFFR</t>
  </si>
  <si>
    <t xml:space="preserve">Effective fed funds rate</t>
  </si>
  <si>
    <t xml:space="preserve">CPIAUCSL</t>
  </si>
  <si>
    <t xml:space="preserve">CPI-U all items, SA</t>
  </si>
  <si>
    <t xml:space="preserve">Monthly</t>
  </si>
  <si>
    <t xml:space="preserve">CPILFESL</t>
  </si>
  <si>
    <t xml:space="preserve">Core CPI (ex food &amp; energy), SA</t>
  </si>
  <si>
    <t xml:space="preserve">PCEPI</t>
  </si>
  <si>
    <t xml:space="preserve">PCE price index</t>
  </si>
  <si>
    <t xml:space="preserve">PCEPILFE</t>
  </si>
  <si>
    <t xml:space="preserve">Core PCE price index</t>
  </si>
  <si>
    <t xml:space="preserve">T10YIE</t>
  </si>
  <si>
    <t xml:space="preserve">10-Year breakeven inflation</t>
  </si>
  <si>
    <t xml:space="preserve">USEPUINDXD</t>
  </si>
  <si>
    <t xml:space="preserve">Economic Policy Uncertainty (daily)</t>
  </si>
  <si>
    <t xml:space="preserve">VIXCLS</t>
  </si>
  <si>
    <t xml:space="preserve">CBOE VIX</t>
  </si>
  <si>
    <t xml:space="preserve">DTWEXBGS</t>
  </si>
  <si>
    <t xml:space="preserve">Broad US dollar index</t>
  </si>
  <si>
    <t xml:space="preserve">DCOILWTICO</t>
  </si>
  <si>
    <t xml:space="preserve">WTI crude oil</t>
  </si>
  <si>
    <t xml:space="preserve">CUSR0000SA0</t>
  </si>
  <si>
    <t xml:space="preserve">CUUR0000SA0</t>
  </si>
  <si>
    <t xml:space="preserve">CPI-U all items, NSA (used for headline YoY)</t>
  </si>
  <si>
    <t xml:space="preserve">CUSR0000SA0L1E</t>
  </si>
  <si>
    <t xml:space="preserve">Core CPI, SA</t>
  </si>
  <si>
    <t xml:space="preserve">CUSR0000SETA01</t>
  </si>
  <si>
    <t xml:space="preserve">CPI – new vehicles, SA</t>
  </si>
  <si>
    <t xml:space="preserve">Inflation (auto-specific)</t>
  </si>
  <si>
    <t xml:space="preserve">SEC</t>
  </si>
  <si>
    <t xml:space="preserve">0001318605</t>
  </si>
  <si>
    <t xml:space="preserve">Tesla, Inc. CIK</t>
  </si>
  <si>
    <t xml:space="preserve">Filings</t>
  </si>
  <si>
    <t xml:space="preserve">lookup via company_tickers.json</t>
  </si>
  <si>
    <t xml:space="preserve">SpaceX (SPCX) CIK</t>
  </si>
  <si>
    <t xml:space="preserve">HTS</t>
  </si>
  <si>
    <t xml:space="preserve">8703</t>
  </si>
  <si>
    <t xml:space="preserve">Passenger motor vehicles</t>
  </si>
  <si>
    <t xml:space="preserve">8507.60</t>
  </si>
  <si>
    <t xml:space="preserve">Lithium-ion batteries</t>
  </si>
  <si>
    <t xml:space="preserve">2805.30 / 2846</t>
  </si>
  <si>
    <t xml:space="preserve">Rare-earth metals &amp; compounds</t>
  </si>
  <si>
    <t xml:space="preserve">Ticker</t>
  </si>
  <si>
    <t xml:space="preserve">TSLA</t>
  </si>
  <si>
    <t xml:space="preserve">Tesla – Nasdaq</t>
  </si>
  <si>
    <t xml:space="preserve">SPCX</t>
  </si>
  <si>
    <t xml:space="preserve">SpaceX – Nasdaq (listed 12 Jun 2026)</t>
  </si>
  <si>
    <t xml:space="preserve">SPY</t>
  </si>
  <si>
    <t xml:space="preserve">S&amp;P 500 ETF proxy</t>
  </si>
  <si>
    <t xml:space="preserve">Index proxy</t>
  </si>
  <si>
    <t xml:space="preserve">DIA</t>
  </si>
  <si>
    <t xml:space="preserve">Dow Jones Industrial Average ETF proxy</t>
  </si>
  <si>
    <t xml:space="preserve">QQQ</t>
  </si>
  <si>
    <t xml:space="preserve">Nasdaq-100 ETF proxy</t>
  </si>
  <si>
    <t xml:space="preserve">IWM</t>
  </si>
  <si>
    <t xml:space="preserve">Russell 2000 ETF proxy</t>
  </si>
  <si>
    <t xml:space="preserve">XLY</t>
  </si>
  <si>
    <t xml:space="preserve">Consumer Discretionary sector ETF (Tesla's sector)</t>
  </si>
  <si>
    <t xml:space="preserve">Sector proxy</t>
  </si>
  <si>
    <t xml:space="preserve">ITA</t>
  </si>
  <si>
    <t xml:space="preserve">Aerospace &amp; Defense ETF (SpaceX peer group)</t>
  </si>
  <si>
    <t xml:space="preserve">SMH</t>
  </si>
  <si>
    <t xml:space="preserve">Semiconductor ETF (AI/chip exposure)</t>
  </si>
  <si>
    <t xml:space="preserve">SP500</t>
  </si>
  <si>
    <t xml:space="preserve">S&amp;P 500 index daily close (fallback)</t>
  </si>
  <si>
    <t xml:space="preserve">DJIA</t>
  </si>
  <si>
    <t xml:space="preserve">Dow Jones Industrial Average daily close (fallback)</t>
  </si>
  <si>
    <t xml:space="preserve">NASDAQ100</t>
  </si>
  <si>
    <t xml:space="preserve">Nasdaq-100 index daily close (fallback)</t>
  </si>
  <si>
    <t xml:space="preserve">SEC XBRL</t>
  </si>
  <si>
    <t xml:space="preserve">us-gaap:GrossProfit</t>
  </si>
  <si>
    <t xml:space="preserve">Tesla gross profit (quarterly/annual)</t>
  </si>
  <si>
    <t xml:space="preserve">us-gaap:Revenues</t>
  </si>
  <si>
    <t xml:space="preserve">Tesla total revenues; gross margin = GrossProfit ÷ Revenues</t>
  </si>
  <si>
    <t xml:space="preserve">dei:EntityCommonStockSharesOutstanding</t>
  </si>
  <si>
    <t xml:space="preserve">Shares outstanding (float proxy for short interest % of float)</t>
  </si>
  <si>
    <t xml:space="preserve">FINRA</t>
  </si>
  <si>
    <t xml:space="preserve">otcMarket / consolidatedShortInterest</t>
  </si>
  <si>
    <t xml:space="preserve">FINRA API group / dataset for short interest</t>
  </si>
  <si>
    <t xml:space="preserve">Twice monthly</t>
  </si>
  <si>
    <t xml:space="preserve">Alpaca</t>
  </si>
  <si>
    <t xml:space="preserve">feed=indicative</t>
  </si>
  <si>
    <t xml:space="preserve">Free options feed parameter for chain snapshots</t>
  </si>
  <si>
    <t xml:space="preserve">NHTSA SGO</t>
  </si>
  <si>
    <t xml:space="preserve">Reporting Entity = Tesla, Inc.</t>
  </si>
  <si>
    <t xml:space="preserve">Filter for Tesla rows in ADS &amp; ADAS crash CSVs</t>
  </si>
  <si>
    <t xml:space="preserve">Robotaxi</t>
  </si>
  <si>
    <t xml:space="preserve">NHTSA</t>
  </si>
  <si>
    <t xml:space="preserve">AQ26002</t>
  </si>
  <si>
    <t xml:space="preserve">Cybercab audit query (opened 3 Sep 2026; special order 10 Sep)</t>
  </si>
  <si>
    <t xml:space="preserve">CPUC</t>
  </si>
  <si>
    <t xml:space="preserve">TCP0046782-A</t>
  </si>
  <si>
    <t xml:space="preserve">Tesla charter-party carrier permit (Bay Area)</t>
  </si>
  <si>
    <t xml:space="preserve">Nevada NTA</t>
  </si>
  <si>
    <t xml:space="preserve">AVNC Permit 002</t>
  </si>
  <si>
    <t xml:space="preserve">Tesla AV network permit, ≤5,000 vehicles</t>
  </si>
  <si>
    <t xml:space="preserve">USAspending</t>
  </si>
  <si>
    <t xml:space="preserve">Space Exploration Technologies Corp</t>
  </si>
  <si>
    <t xml:space="preserve">recipient_search_text value</t>
  </si>
  <si>
    <t xml:space="preserve">SAM.gov</t>
  </si>
  <si>
    <t xml:space="preserve">8000 / 9700</t>
  </si>
  <si>
    <t xml:space="preserve">Contracting department codes: NASA / DoD</t>
  </si>
  <si>
    <t xml:space="preserve">NAICS</t>
  </si>
  <si>
    <t xml:space="preserve">336414</t>
  </si>
  <si>
    <t xml:space="preserve">Guided missile &amp; space vehicle manufacturing</t>
  </si>
  <si>
    <t xml:space="preserve">481212</t>
  </si>
  <si>
    <t xml:space="preserve">Nonscheduled chartered freight air transport (launch services)</t>
  </si>
  <si>
    <t xml:space="preserve">517410</t>
  </si>
  <si>
    <t xml:space="preserve">Satellite telecommunications (Starlink)</t>
  </si>
  <si>
    <t xml:space="preserve">GROUP=starlink</t>
  </si>
  <si>
    <t xml:space="preserve">Starlink GP element set</t>
  </si>
  <si>
    <t xml:space="preserve">LL2</t>
  </si>
  <si>
    <t xml:space="preserve">lsp__name=SpaceX</t>
  </si>
  <si>
    <t xml:space="preserve">Launch Library 2 provider filter</t>
  </si>
  <si>
    <t xml:space="preserve">Investor Dashboard – Data Source Catalog</t>
  </si>
  <si>
    <t xml:space="preserve">Compiled 2026-10-03. Endpoints verified against public docs as of this date; free-tier limits change often — confirm before production use.</t>
  </si>
  <si>
    <t xml:space="preserve">Collection rule: nothing is polled more often than once an hour. Sources are sorted by cadence (Hourly → Daily → Weekly → Monthly/on release → Quarterly → Annual → One-time → Failover → Not used / merged), then by batch job and ID.</t>
  </si>
  <si>
    <t xml:space="preserve">Batching: each Batch Job runs all of its sources in one scheduled pass, so the scheduler wakes up 14 times a day rather than once per source. See the Batch Schedule tab for job times and call totals (formulas).</t>
  </si>
  <si>
    <t xml:space="preserve">Call-reduction rules applied: (1) multi-ticker / multi-term queries combined into one call where the API allows; (2) backups are polled only when the primary fails (Failover only = 0 calls normally); (3) duplicate sources merged (DS-49, DS-78, DS-79); (4) release data (CPI, PCE, trade) fetched once at release time, using dates pulled by job D1.</t>
  </si>
  <si>
    <t xml:space="preserve">Blue numbers (Calls / Run, Runs / Month) are editable assumptions; Calls / Month and the Batch Schedule totals recalculate. Runs / Month uses 251 NYSE trading days, 250 US federal business days and 249 bond-market days per year (2026 and 2027), divided by 12. Avg Calls / Day divides by 30 calendar days.</t>
  </si>
  <si>
    <t xml:space="preserve">No collection on weekends or holidays: every job follows the Holiday Calendar named on its row (see the Holiday Calendar tab). Regional sources (China MOFCOM/MIIT, Netherlands RDW) are also skipped on that country's holidays. Weekly jobs move to the next business day; feeds catch up on the first run after a gap, so nothing is lost.</t>
  </si>
  <si>
    <t xml:space="preserve">Times are US Eastern (source release times are published in ET); PT column = ET − 3 hours.</t>
  </si>
  <si>
    <t xml:space="preserve">{KEY} = your API key; {d} = date YYYY-MM-DD; {TICKER} = any tracked ticker.</t>
  </si>
  <si>
    <t xml:space="preserve">Ticker scope: collectors read the UNION of all users' tickers (default TSLA, SPCX + ETF proxies SPY, DIA, QQQ, IWM, XLY, ITA, SMH). Alpaca and Massive scale by adding symbols to the same calls; Alpha Vantage sentiment stays capped at 16 calls/day using a fixed list or rotation, so more tickers = less frequent sentiment per ticker.</t>
  </si>
  <si>
    <t xml:space="preserve">New ticker added by a user: run the DS-05 5-year daily backfill once for that ticker, then it joins the hourly (DS-02) and daily-close (DS-01) calls.</t>
  </si>
  <si>
    <t xml:space="preserve">SEC EDGAR requires a descriptive User-Agent header (name + email) and ≤10 requests/second.</t>
  </si>
  <si>
    <t xml:space="preserve">Role: Primary = authoritative/first choice; Backup = use if primary fails or for cross-check; Fallback = unofficial; Optional = beyond original scope but useful.</t>
  </si>
  <si>
    <t xml:space="preserve">Robotaxi caveat: Tesla does not disclose fleet size; TxDMV AV registrations are the best official proxy. Unofficial trackers are flagged 'Secondary' — cross-check before acting.</t>
  </si>
  <si>
    <t xml:space="preserve">$0 data budget: all sources use free tiers; paid upgrades declined are listed on the Cost Summary tab with their free replacements. Cost: see Cost Summary tab. Priority P1/P2/P3 and Likelihood of Paying are on each Data Sources row; expected monthly cost is probability-weighted.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</si>
</sst>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##"/>
    <numFmt numFmtId="166" formatCode="#,##0"/>
    <numFmt numFmtId="167" formatCode="\$#,##0.00;&quot;($&quot;#,##0.00\);\-"/>
    <numFmt numFmtId="168" formatCode="0%;;\-"/>
    <numFmt numFmtId="169" formatCode="\$#,##0.00"/>
    <numFmt numFmtId="170" formatCode="#,##0.0"/>
    <numFmt numFmtId="171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563C1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4B183"/>
        <bgColor rgb="FFBFBFBF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DE7F6"/>
      </patternFill>
    </fill>
    <fill>
      <patternFill patternType="solid">
        <fgColor rgb="FFFFF2CC"/>
        <bgColor rgb="FFFCE4D6"/>
      </patternFill>
    </fill>
    <fill>
      <patternFill patternType="solid">
        <fgColor rgb="FFEDE7F6"/>
        <bgColor rgb="FFF2F2F2"/>
      </patternFill>
    </fill>
    <fill>
      <patternFill patternType="solid">
        <fgColor rgb="FFF2F2F2"/>
        <bgColor rgb="FFEDE7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CE4D6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Sources" displayName="DataSources" ref="A1:AC94" headerRowCount="1" totalsRowCount="0" totalsRowShown="0">
  <autoFilter ref="A1:AC94"/>
  <tableColumns count="29">
    <tableColumn id="1" name="ID"/>
    <tableColumn id="2" name="Cadence"/>
    <tableColumn id="3" name="Batch Job"/>
    <tableColumn id="4" name="Run Time (ET)"/>
    <tableColumn id="5" name="Run Time (PT)"/>
    <tableColumn id="6" name="Calls / Run"/>
    <tableColumn id="7" name="Runs / Month"/>
    <tableColumn id="8" name="Calls / Month"/>
    <tableColumn id="9" name="Priority"/>
    <tableColumn id="10" name="Current Cost ($/mo)"/>
    <tableColumn id="11" name="Paid Plan (if needed)"/>
    <tableColumn id="12" name="Paid Plan Cost ($/mo)"/>
    <tableColumn id="13" name="Likelihood of Paying"/>
    <tableColumn id="14" name="Likelihood Band"/>
    <tableColumn id="15" name="Expected Cost ($/mo)"/>
    <tableColumn id="16" name="Cost Trigger"/>
    <tableColumn id="17" name="Category"/>
    <tableColumn id="18" name="Data Item"/>
    <tableColumn id="19" name="Source"/>
    <tableColumn id="20" name="Access Type"/>
    <tableColumn id="21" name="Endpoint / URL"/>
    <tableColumn id="22" name="Example Params / Notes on Call"/>
    <tableColumn id="23" name="Auth"/>
    <tableColumn id="24" name="Cost / Limits"/>
    <tableColumn id="25" name="Format"/>
    <tableColumn id="26" name="Role"/>
    <tableColumn id="27" name="Notes"/>
    <tableColumn id="28" name="Schedule Note"/>
    <tableColumn id="29" name="Holiday Calend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5" min="4" style="0" width="22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5" min="12" style="0" width="10"/>
    <col collapsed="false" customWidth="true" hidden="false" outlineLevel="0" max="16" min="16" style="0" width="40"/>
    <col collapsed="false" customWidth="true" hidden="false" outlineLevel="0" max="17" min="17" style="0" width="18"/>
    <col collapsed="false" customWidth="true" hidden="false" outlineLevel="0" max="18" min="18" style="0" width="30"/>
    <col collapsed="false" customWidth="true" hidden="false" outlineLevel="0" max="19" min="19" style="0" width="26"/>
    <col collapsed="false" customWidth="true" hidden="false" outlineLevel="0" max="20" min="20" style="0" width="13"/>
    <col collapsed="false" customWidth="true" hidden="false" outlineLevel="0" max="21" min="21" style="0" width="55"/>
    <col collapsed="false" customWidth="true" hidden="false" outlineLevel="0" max="22" min="22" style="0" width="45"/>
    <col collapsed="false" customWidth="true" hidden="false" outlineLevel="0" max="23" min="23" style="0" width="18"/>
    <col collapsed="false" customWidth="true" hidden="false" outlineLevel="0" max="24" min="24" style="0" width="22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36"/>
    <col collapsed="false" customWidth="true" hidden="false" outlineLevel="0" max="28" min="28" style="0" width="40"/>
    <col collapsed="false" customWidth="true" hidden="false" outlineLevel="0" max="29" min="29" style="0" width="30"/>
  </cols>
  <sheetData>
    <row r="1" customFormat="false" ht="43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64.15" hidden="false" customHeight="false" outlineLevel="0" collapsed="false">
      <c r="A2" s="2" t="s">
        <v>29</v>
      </c>
      <c r="B2" s="3" t="s">
        <v>30</v>
      </c>
      <c r="C2" s="2" t="s">
        <v>31</v>
      </c>
      <c r="D2" s="2" t="s">
        <v>32</v>
      </c>
      <c r="E2" s="2" t="s">
        <v>33</v>
      </c>
      <c r="F2" s="4" t="n">
        <v>1</v>
      </c>
      <c r="G2" s="5" t="n">
        <v>145.916666666667</v>
      </c>
      <c r="H2" s="6" t="n">
        <f aca="false">F2*G2</f>
        <v>145.916666666667</v>
      </c>
      <c r="I2" s="7" t="s">
        <v>34</v>
      </c>
      <c r="J2" s="8" t="n">
        <v>0</v>
      </c>
      <c r="K2" s="2" t="s">
        <v>35</v>
      </c>
      <c r="L2" s="8" t="n">
        <v>0</v>
      </c>
      <c r="M2" s="9" t="n">
        <v>0</v>
      </c>
      <c r="N2" s="2" t="str">
        <f aca="false">IF(L2=0,"None",IF(M2&gt;0.6,"High",IF(M2&gt;0.2,"Medium","Low")))</f>
        <v>None</v>
      </c>
      <c r="O2" s="10" t="n">
        <f aca="false">J2+(L2-J2)*M2</f>
        <v>0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11" t="s">
        <v>41</v>
      </c>
      <c r="V2" s="2" t="s">
        <v>42</v>
      </c>
      <c r="W2" s="2" t="s">
        <v>43</v>
      </c>
      <c r="X2" s="2" t="s">
        <v>44</v>
      </c>
      <c r="Y2" s="2" t="s">
        <v>45</v>
      </c>
      <c r="Z2" s="2" t="s">
        <v>46</v>
      </c>
      <c r="AA2" s="2" t="s">
        <v>47</v>
      </c>
      <c r="AB2" s="2" t="s">
        <v>48</v>
      </c>
      <c r="AC2" s="2" t="s">
        <v>49</v>
      </c>
    </row>
    <row r="3" customFormat="false" ht="22.35" hidden="false" customHeight="false" outlineLevel="0" collapsed="false">
      <c r="A3" s="2" t="s">
        <v>50</v>
      </c>
      <c r="B3" s="3" t="s">
        <v>30</v>
      </c>
      <c r="C3" s="2" t="s">
        <v>51</v>
      </c>
      <c r="D3" s="2" t="s">
        <v>52</v>
      </c>
      <c r="E3" s="2" t="s">
        <v>52</v>
      </c>
      <c r="F3" s="4" t="n">
        <v>1</v>
      </c>
      <c r="G3" s="5" t="n">
        <v>502</v>
      </c>
      <c r="H3" s="6" t="n">
        <f aca="false">F3*G3</f>
        <v>502</v>
      </c>
      <c r="I3" s="12" t="s">
        <v>53</v>
      </c>
      <c r="J3" s="8" t="n">
        <v>0</v>
      </c>
      <c r="K3" s="2" t="s">
        <v>54</v>
      </c>
      <c r="L3" s="8" t="n">
        <v>0</v>
      </c>
      <c r="M3" s="9" t="n">
        <v>0</v>
      </c>
      <c r="N3" s="2" t="str">
        <f aca="false">IF(L3=0,"None",IF(M3&gt;0.6,"High",IF(M3&gt;0.2,"Medium","Low")))</f>
        <v>None</v>
      </c>
      <c r="O3" s="10" t="n">
        <f aca="false">J3+(L3-J3)*M3</f>
        <v>0</v>
      </c>
      <c r="P3" s="2"/>
      <c r="Q3" s="2" t="s">
        <v>55</v>
      </c>
      <c r="R3" s="2" t="s">
        <v>56</v>
      </c>
      <c r="S3" s="2" t="s">
        <v>57</v>
      </c>
      <c r="T3" s="2" t="s">
        <v>40</v>
      </c>
      <c r="U3" s="11" t="s">
        <v>58</v>
      </c>
      <c r="V3" s="2" t="s">
        <v>59</v>
      </c>
      <c r="W3" s="2" t="s">
        <v>60</v>
      </c>
      <c r="X3" s="2" t="s">
        <v>61</v>
      </c>
      <c r="Y3" s="2" t="s">
        <v>45</v>
      </c>
      <c r="Z3" s="2" t="s">
        <v>46</v>
      </c>
      <c r="AA3" s="2" t="s">
        <v>62</v>
      </c>
      <c r="AB3" s="2" t="s">
        <v>63</v>
      </c>
      <c r="AC3" s="2" t="s">
        <v>49</v>
      </c>
    </row>
    <row r="4" customFormat="false" ht="64.15" hidden="false" customHeight="false" outlineLevel="0" collapsed="false">
      <c r="A4" s="2" t="s">
        <v>64</v>
      </c>
      <c r="B4" s="3" t="s">
        <v>30</v>
      </c>
      <c r="C4" s="2" t="s">
        <v>51</v>
      </c>
      <c r="D4" s="2" t="s">
        <v>65</v>
      </c>
      <c r="E4" s="2" t="s">
        <v>66</v>
      </c>
      <c r="F4" s="4" t="n">
        <v>1</v>
      </c>
      <c r="G4" s="5" t="n">
        <v>334.666666666667</v>
      </c>
      <c r="H4" s="6" t="n">
        <f aca="false">F4*G4</f>
        <v>334.666666666667</v>
      </c>
      <c r="I4" s="12" t="s">
        <v>53</v>
      </c>
      <c r="J4" s="8" t="n">
        <v>0</v>
      </c>
      <c r="K4" s="2" t="s">
        <v>35</v>
      </c>
      <c r="L4" s="8" t="n">
        <v>0</v>
      </c>
      <c r="M4" s="9" t="n">
        <v>0</v>
      </c>
      <c r="N4" s="2" t="str">
        <f aca="false">IF(L4=0,"None",IF(M4&gt;0.6,"High",IF(M4&gt;0.2,"Medium","Low")))</f>
        <v>None</v>
      </c>
      <c r="O4" s="10" t="n">
        <f aca="false">J4+(L4-J4)*M4</f>
        <v>0</v>
      </c>
      <c r="P4" s="2" t="s">
        <v>67</v>
      </c>
      <c r="Q4" s="2" t="s">
        <v>68</v>
      </c>
      <c r="R4" s="2" t="s">
        <v>69</v>
      </c>
      <c r="S4" s="2" t="s">
        <v>70</v>
      </c>
      <c r="T4" s="2" t="s">
        <v>40</v>
      </c>
      <c r="U4" s="11" t="s">
        <v>71</v>
      </c>
      <c r="V4" s="2" t="s">
        <v>72</v>
      </c>
      <c r="W4" s="2" t="s">
        <v>73</v>
      </c>
      <c r="X4" s="2" t="s">
        <v>74</v>
      </c>
      <c r="Y4" s="2" t="s">
        <v>45</v>
      </c>
      <c r="Z4" s="2" t="s">
        <v>46</v>
      </c>
      <c r="AA4" s="2" t="s">
        <v>75</v>
      </c>
      <c r="AB4" s="2" t="s">
        <v>76</v>
      </c>
      <c r="AC4" s="2" t="s">
        <v>49</v>
      </c>
    </row>
    <row r="5" customFormat="false" ht="22.35" hidden="false" customHeight="false" outlineLevel="0" collapsed="false">
      <c r="A5" s="2" t="s">
        <v>77</v>
      </c>
      <c r="B5" s="3" t="s">
        <v>30</v>
      </c>
      <c r="C5" s="2" t="s">
        <v>51</v>
      </c>
      <c r="D5" s="2" t="s">
        <v>52</v>
      </c>
      <c r="E5" s="2" t="s">
        <v>52</v>
      </c>
      <c r="F5" s="4" t="n">
        <v>2</v>
      </c>
      <c r="G5" s="5" t="n">
        <v>502</v>
      </c>
      <c r="H5" s="6" t="n">
        <f aca="false">F5*G5</f>
        <v>1004</v>
      </c>
      <c r="I5" s="7" t="s">
        <v>34</v>
      </c>
      <c r="J5" s="8" t="n">
        <v>0</v>
      </c>
      <c r="K5" s="2" t="s">
        <v>54</v>
      </c>
      <c r="L5" s="8" t="n">
        <v>0</v>
      </c>
      <c r="M5" s="9" t="n">
        <v>0</v>
      </c>
      <c r="N5" s="2" t="str">
        <f aca="false">IF(L5=0,"None",IF(M5&gt;0.6,"High",IF(M5&gt;0.2,"Medium","Low")))</f>
        <v>None</v>
      </c>
      <c r="O5" s="10" t="n">
        <f aca="false">J5+(L5-J5)*M5</f>
        <v>0</v>
      </c>
      <c r="P5" s="2"/>
      <c r="Q5" s="2" t="s">
        <v>68</v>
      </c>
      <c r="R5" s="2" t="s">
        <v>78</v>
      </c>
      <c r="S5" s="2" t="s">
        <v>79</v>
      </c>
      <c r="T5" s="2" t="s">
        <v>40</v>
      </c>
      <c r="U5" s="11" t="s">
        <v>80</v>
      </c>
      <c r="V5" s="2" t="s">
        <v>81</v>
      </c>
      <c r="W5" s="2" t="s">
        <v>73</v>
      </c>
      <c r="X5" s="2" t="s">
        <v>61</v>
      </c>
      <c r="Y5" s="2" t="s">
        <v>45</v>
      </c>
      <c r="Z5" s="2" t="s">
        <v>46</v>
      </c>
      <c r="AA5" s="2"/>
      <c r="AB5" s="2" t="s">
        <v>82</v>
      </c>
      <c r="AC5" s="2" t="s">
        <v>49</v>
      </c>
    </row>
    <row r="6" customFormat="false" ht="22.35" hidden="false" customHeight="false" outlineLevel="0" collapsed="false">
      <c r="A6" s="2" t="s">
        <v>83</v>
      </c>
      <c r="B6" s="3" t="s">
        <v>30</v>
      </c>
      <c r="C6" s="2" t="s">
        <v>51</v>
      </c>
      <c r="D6" s="2" t="s">
        <v>52</v>
      </c>
      <c r="E6" s="2" t="s">
        <v>52</v>
      </c>
      <c r="F6" s="4" t="n">
        <v>3</v>
      </c>
      <c r="G6" s="5" t="n">
        <v>502</v>
      </c>
      <c r="H6" s="6" t="n">
        <f aca="false">F6*G6</f>
        <v>1506</v>
      </c>
      <c r="I6" s="12" t="s">
        <v>53</v>
      </c>
      <c r="J6" s="8" t="n">
        <v>0</v>
      </c>
      <c r="K6" s="2" t="s">
        <v>54</v>
      </c>
      <c r="L6" s="8" t="n">
        <v>0</v>
      </c>
      <c r="M6" s="9" t="n">
        <v>0</v>
      </c>
      <c r="N6" s="2" t="str">
        <f aca="false">IF(L6=0,"None",IF(M6&gt;0.6,"High",IF(M6&gt;0.2,"Medium","Low")))</f>
        <v>None</v>
      </c>
      <c r="O6" s="10" t="n">
        <f aca="false">J6+(L6-J6)*M6</f>
        <v>0</v>
      </c>
      <c r="P6" s="2"/>
      <c r="Q6" s="2" t="s">
        <v>68</v>
      </c>
      <c r="R6" s="2" t="s">
        <v>84</v>
      </c>
      <c r="S6" s="2" t="s">
        <v>85</v>
      </c>
      <c r="T6" s="2" t="s">
        <v>86</v>
      </c>
      <c r="U6" s="11" t="s">
        <v>87</v>
      </c>
      <c r="V6" s="2" t="s">
        <v>88</v>
      </c>
      <c r="W6" s="2" t="s">
        <v>60</v>
      </c>
      <c r="X6" s="2" t="s">
        <v>61</v>
      </c>
      <c r="Y6" s="2" t="s">
        <v>89</v>
      </c>
      <c r="Z6" s="2" t="s">
        <v>90</v>
      </c>
      <c r="AA6" s="2" t="s">
        <v>91</v>
      </c>
      <c r="AB6" s="2" t="s">
        <v>92</v>
      </c>
      <c r="AC6" s="2" t="s">
        <v>49</v>
      </c>
    </row>
    <row r="7" customFormat="false" ht="22.35" hidden="false" customHeight="false" outlineLevel="0" collapsed="false">
      <c r="A7" s="2" t="s">
        <v>93</v>
      </c>
      <c r="B7" s="3" t="s">
        <v>30</v>
      </c>
      <c r="C7" s="2" t="s">
        <v>51</v>
      </c>
      <c r="D7" s="2" t="s">
        <v>52</v>
      </c>
      <c r="E7" s="2" t="s">
        <v>52</v>
      </c>
      <c r="F7" s="4" t="n">
        <v>1</v>
      </c>
      <c r="G7" s="5" t="n">
        <v>502</v>
      </c>
      <c r="H7" s="6" t="n">
        <f aca="false">F7*G7</f>
        <v>502</v>
      </c>
      <c r="I7" s="12" t="s">
        <v>53</v>
      </c>
      <c r="J7" s="8" t="n">
        <v>0</v>
      </c>
      <c r="K7" s="2" t="s">
        <v>54</v>
      </c>
      <c r="L7" s="8" t="n">
        <v>0</v>
      </c>
      <c r="M7" s="9" t="n">
        <v>0</v>
      </c>
      <c r="N7" s="2" t="str">
        <f aca="false">IF(L7=0,"None",IF(M7&gt;0.6,"High",IF(M7&gt;0.2,"Medium","Low")))</f>
        <v>None</v>
      </c>
      <c r="O7" s="10" t="n">
        <f aca="false">J7+(L7-J7)*M7</f>
        <v>0</v>
      </c>
      <c r="P7" s="2"/>
      <c r="Q7" s="2" t="s">
        <v>94</v>
      </c>
      <c r="R7" s="2" t="s">
        <v>95</v>
      </c>
      <c r="S7" s="2" t="s">
        <v>96</v>
      </c>
      <c r="T7" s="2" t="s">
        <v>40</v>
      </c>
      <c r="U7" s="11" t="s">
        <v>97</v>
      </c>
      <c r="V7" s="2" t="s">
        <v>98</v>
      </c>
      <c r="W7" s="2" t="s">
        <v>60</v>
      </c>
      <c r="X7" s="2" t="s">
        <v>61</v>
      </c>
      <c r="Y7" s="2" t="s">
        <v>45</v>
      </c>
      <c r="Z7" s="2" t="s">
        <v>46</v>
      </c>
      <c r="AA7" s="2" t="s">
        <v>99</v>
      </c>
      <c r="AB7" s="2"/>
      <c r="AC7" s="2" t="s">
        <v>49</v>
      </c>
    </row>
    <row r="8" customFormat="false" ht="32.8" hidden="false" customHeight="false" outlineLevel="0" collapsed="false">
      <c r="A8" s="2" t="s">
        <v>100</v>
      </c>
      <c r="B8" s="3" t="s">
        <v>30</v>
      </c>
      <c r="C8" s="2" t="s">
        <v>101</v>
      </c>
      <c r="D8" s="2" t="s">
        <v>102</v>
      </c>
      <c r="E8" s="2" t="s">
        <v>103</v>
      </c>
      <c r="F8" s="4" t="n">
        <v>1</v>
      </c>
      <c r="G8" s="5" t="n">
        <v>354.166666666667</v>
      </c>
      <c r="H8" s="6" t="n">
        <f aca="false">F8*G8</f>
        <v>354.166666666667</v>
      </c>
      <c r="I8" s="7" t="s">
        <v>34</v>
      </c>
      <c r="J8" s="8" t="n">
        <v>0</v>
      </c>
      <c r="K8" s="2" t="s">
        <v>54</v>
      </c>
      <c r="L8" s="8" t="n">
        <v>0</v>
      </c>
      <c r="M8" s="9" t="n">
        <v>0</v>
      </c>
      <c r="N8" s="2" t="str">
        <f aca="false">IF(L8=0,"None",IF(M8&gt;0.6,"High",IF(M8&gt;0.2,"Medium","Low")))</f>
        <v>None</v>
      </c>
      <c r="O8" s="10" t="n">
        <f aca="false">J8+(L8-J8)*M8</f>
        <v>0</v>
      </c>
      <c r="P8" s="2"/>
      <c r="Q8" s="2" t="s">
        <v>104</v>
      </c>
      <c r="R8" s="2" t="s">
        <v>105</v>
      </c>
      <c r="S8" s="2" t="s">
        <v>106</v>
      </c>
      <c r="T8" s="2" t="s">
        <v>40</v>
      </c>
      <c r="U8" s="11" t="s">
        <v>107</v>
      </c>
      <c r="V8" s="2" t="s">
        <v>108</v>
      </c>
      <c r="W8" s="2" t="s">
        <v>109</v>
      </c>
      <c r="X8" s="2" t="s">
        <v>61</v>
      </c>
      <c r="Y8" s="2" t="s">
        <v>45</v>
      </c>
      <c r="Z8" s="2" t="s">
        <v>46</v>
      </c>
      <c r="AA8" s="2" t="s">
        <v>110</v>
      </c>
      <c r="AB8" s="2" t="s">
        <v>111</v>
      </c>
      <c r="AC8" s="2" t="s">
        <v>112</v>
      </c>
    </row>
    <row r="9" customFormat="false" ht="22.35" hidden="false" customHeight="false" outlineLevel="0" collapsed="false">
      <c r="A9" s="2" t="s">
        <v>113</v>
      </c>
      <c r="B9" s="3" t="s">
        <v>30</v>
      </c>
      <c r="C9" s="2" t="s">
        <v>101</v>
      </c>
      <c r="D9" s="2" t="s">
        <v>102</v>
      </c>
      <c r="E9" s="2" t="s">
        <v>103</v>
      </c>
      <c r="F9" s="4" t="n">
        <v>1</v>
      </c>
      <c r="G9" s="5" t="n">
        <v>354.166666666667</v>
      </c>
      <c r="H9" s="6" t="n">
        <f aca="false">F9*G9</f>
        <v>354.166666666667</v>
      </c>
      <c r="I9" s="12" t="s">
        <v>53</v>
      </c>
      <c r="J9" s="8" t="n">
        <v>0</v>
      </c>
      <c r="K9" s="2" t="s">
        <v>35</v>
      </c>
      <c r="L9" s="8" t="n">
        <v>0</v>
      </c>
      <c r="M9" s="9" t="n">
        <v>0</v>
      </c>
      <c r="N9" s="2" t="str">
        <f aca="false">IF(L9=0,"None",IF(M9&gt;0.6,"High",IF(M9&gt;0.2,"Medium","Low")))</f>
        <v>None</v>
      </c>
      <c r="O9" s="10" t="n">
        <f aca="false">J9+(L9-J9)*M9</f>
        <v>0</v>
      </c>
      <c r="P9" s="2" t="s">
        <v>114</v>
      </c>
      <c r="Q9" s="2" t="s">
        <v>115</v>
      </c>
      <c r="R9" s="2" t="s">
        <v>116</v>
      </c>
      <c r="S9" s="2" t="s">
        <v>117</v>
      </c>
      <c r="T9" s="2" t="s">
        <v>40</v>
      </c>
      <c r="U9" s="11" t="s">
        <v>118</v>
      </c>
      <c r="V9" s="2" t="s">
        <v>119</v>
      </c>
      <c r="W9" s="2" t="s">
        <v>120</v>
      </c>
      <c r="X9" s="2" t="s">
        <v>121</v>
      </c>
      <c r="Y9" s="2" t="s">
        <v>45</v>
      </c>
      <c r="Z9" s="2" t="s">
        <v>46</v>
      </c>
      <c r="AA9" s="2" t="s">
        <v>122</v>
      </c>
      <c r="AB9" s="2" t="s">
        <v>123</v>
      </c>
      <c r="AC9" s="2" t="s">
        <v>112</v>
      </c>
    </row>
    <row r="10" customFormat="false" ht="15" hidden="false" customHeight="false" outlineLevel="0" collapsed="false">
      <c r="A10" s="2" t="s">
        <v>124</v>
      </c>
      <c r="B10" s="3" t="s">
        <v>30</v>
      </c>
      <c r="C10" s="2" t="s">
        <v>101</v>
      </c>
      <c r="D10" s="2" t="s">
        <v>102</v>
      </c>
      <c r="E10" s="2" t="s">
        <v>103</v>
      </c>
      <c r="F10" s="4" t="n">
        <v>1</v>
      </c>
      <c r="G10" s="5" t="n">
        <v>354.166666666667</v>
      </c>
      <c r="H10" s="6" t="n">
        <f aca="false">F10*G10</f>
        <v>354.166666666667</v>
      </c>
      <c r="I10" s="13" t="s">
        <v>125</v>
      </c>
      <c r="J10" s="8" t="n">
        <v>0</v>
      </c>
      <c r="K10" s="2" t="s">
        <v>54</v>
      </c>
      <c r="L10" s="8" t="n">
        <v>0</v>
      </c>
      <c r="M10" s="9" t="n">
        <v>0</v>
      </c>
      <c r="N10" s="2" t="str">
        <f aca="false">IF(L10=0,"None",IF(M10&gt;0.6,"High",IF(M10&gt;0.2,"Medium","Low")))</f>
        <v>None</v>
      </c>
      <c r="O10" s="10" t="n">
        <f aca="false">J10+(L10-J10)*M10</f>
        <v>0</v>
      </c>
      <c r="P10" s="2"/>
      <c r="Q10" s="2" t="s">
        <v>115</v>
      </c>
      <c r="R10" s="2" t="s">
        <v>126</v>
      </c>
      <c r="S10" s="2" t="s">
        <v>127</v>
      </c>
      <c r="T10" s="2" t="s">
        <v>128</v>
      </c>
      <c r="U10" s="11" t="s">
        <v>129</v>
      </c>
      <c r="V10" s="2" t="s">
        <v>130</v>
      </c>
      <c r="W10" s="2" t="s">
        <v>60</v>
      </c>
      <c r="X10" s="2" t="s">
        <v>61</v>
      </c>
      <c r="Y10" s="2" t="s">
        <v>131</v>
      </c>
      <c r="Z10" s="2" t="s">
        <v>132</v>
      </c>
      <c r="AA10" s="2"/>
      <c r="AB10" s="2"/>
      <c r="AC10" s="2" t="s">
        <v>112</v>
      </c>
    </row>
    <row r="11" customFormat="false" ht="32.8" hidden="false" customHeight="false" outlineLevel="0" collapsed="false">
      <c r="A11" s="2" t="s">
        <v>133</v>
      </c>
      <c r="B11" s="3" t="s">
        <v>30</v>
      </c>
      <c r="C11" s="2" t="s">
        <v>101</v>
      </c>
      <c r="D11" s="2" t="s">
        <v>102</v>
      </c>
      <c r="E11" s="2" t="s">
        <v>103</v>
      </c>
      <c r="F11" s="4" t="n">
        <v>1</v>
      </c>
      <c r="G11" s="5" t="n">
        <v>354.166666666667</v>
      </c>
      <c r="H11" s="6" t="n">
        <f aca="false">F11*G11</f>
        <v>354.166666666667</v>
      </c>
      <c r="I11" s="7" t="s">
        <v>34</v>
      </c>
      <c r="J11" s="8" t="n">
        <v>0</v>
      </c>
      <c r="K11" s="2" t="s">
        <v>54</v>
      </c>
      <c r="L11" s="8" t="n">
        <v>0</v>
      </c>
      <c r="M11" s="9" t="n">
        <v>0</v>
      </c>
      <c r="N11" s="2" t="str">
        <f aca="false">IF(L11=0,"None",IF(M11&gt;0.6,"High",IF(M11&gt;0.2,"Medium","Low")))</f>
        <v>None</v>
      </c>
      <c r="O11" s="10" t="n">
        <f aca="false">J11+(L11-J11)*M11</f>
        <v>0</v>
      </c>
      <c r="P11" s="2"/>
      <c r="Q11" s="2" t="s">
        <v>134</v>
      </c>
      <c r="R11" s="2" t="s">
        <v>135</v>
      </c>
      <c r="S11" s="2" t="s">
        <v>136</v>
      </c>
      <c r="T11" s="2" t="s">
        <v>137</v>
      </c>
      <c r="U11" s="11" t="s">
        <v>138</v>
      </c>
      <c r="V11" s="2" t="s">
        <v>139</v>
      </c>
      <c r="W11" s="2" t="s">
        <v>140</v>
      </c>
      <c r="X11" s="2" t="s">
        <v>61</v>
      </c>
      <c r="Y11" s="2" t="s">
        <v>141</v>
      </c>
      <c r="Z11" s="2" t="s">
        <v>46</v>
      </c>
      <c r="AA11" s="2" t="s">
        <v>142</v>
      </c>
      <c r="AB11" s="2" t="s">
        <v>143</v>
      </c>
      <c r="AC11" s="2" t="s">
        <v>112</v>
      </c>
    </row>
    <row r="12" customFormat="false" ht="22.35" hidden="false" customHeight="false" outlineLevel="0" collapsed="false">
      <c r="A12" s="2" t="s">
        <v>144</v>
      </c>
      <c r="B12" s="3" t="s">
        <v>30</v>
      </c>
      <c r="C12" s="2" t="s">
        <v>101</v>
      </c>
      <c r="D12" s="2" t="s">
        <v>102</v>
      </c>
      <c r="E12" s="2" t="s">
        <v>103</v>
      </c>
      <c r="F12" s="4" t="n">
        <v>1</v>
      </c>
      <c r="G12" s="5" t="n">
        <v>354.166666666667</v>
      </c>
      <c r="H12" s="6" t="n">
        <f aca="false">F12*G12</f>
        <v>354.166666666667</v>
      </c>
      <c r="I12" s="7" t="s">
        <v>34</v>
      </c>
      <c r="J12" s="8" t="n">
        <v>0</v>
      </c>
      <c r="K12" s="2" t="s">
        <v>54</v>
      </c>
      <c r="L12" s="8" t="n">
        <v>0</v>
      </c>
      <c r="M12" s="9" t="n">
        <v>0</v>
      </c>
      <c r="N12" s="2" t="str">
        <f aca="false">IF(L12=0,"None",IF(M12&gt;0.6,"High",IF(M12&gt;0.2,"Medium","Low")))</f>
        <v>None</v>
      </c>
      <c r="O12" s="10" t="n">
        <f aca="false">J12+(L12-J12)*M12</f>
        <v>0</v>
      </c>
      <c r="P12" s="2"/>
      <c r="Q12" s="2" t="s">
        <v>145</v>
      </c>
      <c r="R12" s="2" t="s">
        <v>146</v>
      </c>
      <c r="S12" s="2" t="s">
        <v>147</v>
      </c>
      <c r="T12" s="2" t="s">
        <v>86</v>
      </c>
      <c r="U12" s="11" t="s">
        <v>148</v>
      </c>
      <c r="V12" s="2" t="s">
        <v>149</v>
      </c>
      <c r="W12" s="2" t="s">
        <v>60</v>
      </c>
      <c r="X12" s="2" t="s">
        <v>61</v>
      </c>
      <c r="Y12" s="2" t="s">
        <v>89</v>
      </c>
      <c r="Z12" s="2" t="s">
        <v>46</v>
      </c>
      <c r="AA12" s="2" t="s">
        <v>150</v>
      </c>
      <c r="AB12" s="2" t="s">
        <v>151</v>
      </c>
      <c r="AC12" s="2" t="s">
        <v>112</v>
      </c>
    </row>
    <row r="13" customFormat="false" ht="32.8" hidden="false" customHeight="false" outlineLevel="0" collapsed="false">
      <c r="A13" s="2" t="s">
        <v>152</v>
      </c>
      <c r="B13" s="3" t="s">
        <v>30</v>
      </c>
      <c r="C13" s="2" t="s">
        <v>101</v>
      </c>
      <c r="D13" s="2" t="s">
        <v>102</v>
      </c>
      <c r="E13" s="2" t="s">
        <v>103</v>
      </c>
      <c r="F13" s="4" t="n">
        <v>1</v>
      </c>
      <c r="G13" s="5" t="n">
        <v>354.166666666667</v>
      </c>
      <c r="H13" s="6" t="n">
        <f aca="false">F13*G13</f>
        <v>354.166666666667</v>
      </c>
      <c r="I13" s="7" t="s">
        <v>34</v>
      </c>
      <c r="J13" s="8" t="n">
        <v>0</v>
      </c>
      <c r="K13" s="2" t="s">
        <v>54</v>
      </c>
      <c r="L13" s="8" t="n">
        <v>0</v>
      </c>
      <c r="M13" s="9" t="n">
        <v>0</v>
      </c>
      <c r="N13" s="2" t="str">
        <f aca="false">IF(L13=0,"None",IF(M13&gt;0.6,"High",IF(M13&gt;0.2,"Medium","Low")))</f>
        <v>None</v>
      </c>
      <c r="O13" s="10" t="n">
        <f aca="false">J13+(L13-J13)*M13</f>
        <v>0</v>
      </c>
      <c r="P13" s="2"/>
      <c r="Q13" s="2" t="s">
        <v>153</v>
      </c>
      <c r="R13" s="2" t="s">
        <v>154</v>
      </c>
      <c r="S13" s="2" t="s">
        <v>155</v>
      </c>
      <c r="T13" s="2" t="s">
        <v>40</v>
      </c>
      <c r="U13" s="11" t="s">
        <v>156</v>
      </c>
      <c r="V13" s="2" t="s">
        <v>157</v>
      </c>
      <c r="W13" s="2" t="s">
        <v>60</v>
      </c>
      <c r="X13" s="2" t="s">
        <v>61</v>
      </c>
      <c r="Y13" s="2" t="s">
        <v>45</v>
      </c>
      <c r="Z13" s="2" t="s">
        <v>46</v>
      </c>
      <c r="AA13" s="2" t="s">
        <v>158</v>
      </c>
      <c r="AB13" s="2" t="s">
        <v>159</v>
      </c>
      <c r="AC13" s="2" t="s">
        <v>112</v>
      </c>
    </row>
    <row r="14" customFormat="false" ht="22.35" hidden="false" customHeight="false" outlineLevel="0" collapsed="false">
      <c r="A14" s="2" t="s">
        <v>160</v>
      </c>
      <c r="B14" s="3" t="s">
        <v>30</v>
      </c>
      <c r="C14" s="2" t="s">
        <v>101</v>
      </c>
      <c r="D14" s="2" t="s">
        <v>102</v>
      </c>
      <c r="E14" s="2" t="s">
        <v>103</v>
      </c>
      <c r="F14" s="4" t="n">
        <v>1</v>
      </c>
      <c r="G14" s="5" t="n">
        <v>354.166666666667</v>
      </c>
      <c r="H14" s="6" t="n">
        <f aca="false">F14*G14</f>
        <v>354.166666666667</v>
      </c>
      <c r="I14" s="7" t="s">
        <v>34</v>
      </c>
      <c r="J14" s="8" t="n">
        <v>0</v>
      </c>
      <c r="K14" s="2" t="s">
        <v>54</v>
      </c>
      <c r="L14" s="8" t="n">
        <v>0</v>
      </c>
      <c r="M14" s="9" t="n">
        <v>0</v>
      </c>
      <c r="N14" s="2" t="str">
        <f aca="false">IF(L14=0,"None",IF(M14&gt;0.6,"High",IF(M14&gt;0.2,"Medium","Low")))</f>
        <v>None</v>
      </c>
      <c r="O14" s="10" t="n">
        <f aca="false">J14+(L14-J14)*M14</f>
        <v>0</v>
      </c>
      <c r="P14" s="2"/>
      <c r="Q14" s="2" t="s">
        <v>153</v>
      </c>
      <c r="R14" s="2" t="s">
        <v>161</v>
      </c>
      <c r="S14" s="2" t="s">
        <v>162</v>
      </c>
      <c r="T14" s="2" t="s">
        <v>128</v>
      </c>
      <c r="U14" s="11" t="s">
        <v>163</v>
      </c>
      <c r="V14" s="2" t="s">
        <v>164</v>
      </c>
      <c r="W14" s="2" t="s">
        <v>60</v>
      </c>
      <c r="X14" s="2" t="s">
        <v>61</v>
      </c>
      <c r="Y14" s="2" t="s">
        <v>131</v>
      </c>
      <c r="Z14" s="2" t="s">
        <v>46</v>
      </c>
      <c r="AA14" s="2" t="s">
        <v>165</v>
      </c>
      <c r="AB14" s="2"/>
      <c r="AC14" s="2" t="s">
        <v>112</v>
      </c>
    </row>
    <row r="15" customFormat="false" ht="22.35" hidden="false" customHeight="false" outlineLevel="0" collapsed="false">
      <c r="A15" s="2" t="s">
        <v>166</v>
      </c>
      <c r="B15" s="3" t="s">
        <v>30</v>
      </c>
      <c r="C15" s="2" t="s">
        <v>101</v>
      </c>
      <c r="D15" s="2" t="s">
        <v>102</v>
      </c>
      <c r="E15" s="2" t="s">
        <v>103</v>
      </c>
      <c r="F15" s="4" t="n">
        <v>1</v>
      </c>
      <c r="G15" s="5" t="n">
        <v>354.166666666667</v>
      </c>
      <c r="H15" s="6" t="n">
        <f aca="false">F15*G15</f>
        <v>354.166666666667</v>
      </c>
      <c r="I15" s="7" t="s">
        <v>34</v>
      </c>
      <c r="J15" s="8" t="n">
        <v>0</v>
      </c>
      <c r="K15" s="2" t="s">
        <v>54</v>
      </c>
      <c r="L15" s="8" t="n">
        <v>0</v>
      </c>
      <c r="M15" s="9" t="n">
        <v>0</v>
      </c>
      <c r="N15" s="2" t="str">
        <f aca="false">IF(L15=0,"None",IF(M15&gt;0.6,"High",IF(M15&gt;0.2,"Medium","Low")))</f>
        <v>None</v>
      </c>
      <c r="O15" s="10" t="n">
        <f aca="false">J15+(L15-J15)*M15</f>
        <v>0</v>
      </c>
      <c r="P15" s="2"/>
      <c r="Q15" s="2" t="s">
        <v>153</v>
      </c>
      <c r="R15" s="2" t="s">
        <v>167</v>
      </c>
      <c r="S15" s="2" t="s">
        <v>168</v>
      </c>
      <c r="T15" s="2" t="s">
        <v>128</v>
      </c>
      <c r="U15" s="11" t="s">
        <v>169</v>
      </c>
      <c r="V15" s="2"/>
      <c r="W15" s="2" t="s">
        <v>60</v>
      </c>
      <c r="X15" s="2" t="s">
        <v>61</v>
      </c>
      <c r="Y15" s="2" t="s">
        <v>131</v>
      </c>
      <c r="Z15" s="2" t="s">
        <v>46</v>
      </c>
      <c r="AA15" s="2"/>
      <c r="AB15" s="2"/>
      <c r="AC15" s="2" t="s">
        <v>112</v>
      </c>
    </row>
    <row r="16" customFormat="false" ht="22.35" hidden="false" customHeight="false" outlineLevel="0" collapsed="false">
      <c r="A16" s="2" t="s">
        <v>170</v>
      </c>
      <c r="B16" s="3" t="s">
        <v>30</v>
      </c>
      <c r="C16" s="2" t="s">
        <v>101</v>
      </c>
      <c r="D16" s="2" t="s">
        <v>102</v>
      </c>
      <c r="E16" s="2" t="s">
        <v>103</v>
      </c>
      <c r="F16" s="4" t="n">
        <v>1</v>
      </c>
      <c r="G16" s="5" t="n">
        <v>354.166666666667</v>
      </c>
      <c r="H16" s="6" t="n">
        <f aca="false">F16*G16</f>
        <v>354.166666666667</v>
      </c>
      <c r="I16" s="7" t="s">
        <v>34</v>
      </c>
      <c r="J16" s="8" t="n">
        <v>0</v>
      </c>
      <c r="K16" s="2" t="s">
        <v>54</v>
      </c>
      <c r="L16" s="8" t="n">
        <v>0</v>
      </c>
      <c r="M16" s="9" t="n">
        <v>0</v>
      </c>
      <c r="N16" s="2" t="str">
        <f aca="false">IF(L16=0,"None",IF(M16&gt;0.6,"High",IF(M16&gt;0.2,"Medium","Low")))</f>
        <v>None</v>
      </c>
      <c r="O16" s="10" t="n">
        <f aca="false">J16+(L16-J16)*M16</f>
        <v>0</v>
      </c>
      <c r="P16" s="2"/>
      <c r="Q16" s="2" t="s">
        <v>171</v>
      </c>
      <c r="R16" s="2" t="s">
        <v>172</v>
      </c>
      <c r="S16" s="2" t="s">
        <v>173</v>
      </c>
      <c r="T16" s="2" t="s">
        <v>86</v>
      </c>
      <c r="U16" s="11" t="s">
        <v>174</v>
      </c>
      <c r="V16" s="2" t="s">
        <v>175</v>
      </c>
      <c r="W16" s="2" t="s">
        <v>60</v>
      </c>
      <c r="X16" s="2" t="s">
        <v>61</v>
      </c>
      <c r="Y16" s="2" t="s">
        <v>89</v>
      </c>
      <c r="Z16" s="2" t="s">
        <v>46</v>
      </c>
      <c r="AA16" s="2"/>
      <c r="AB16" s="2"/>
      <c r="AC16" s="2" t="s">
        <v>112</v>
      </c>
    </row>
    <row r="17" customFormat="false" ht="22.35" hidden="false" customHeight="false" outlineLevel="0" collapsed="false">
      <c r="A17" s="2" t="s">
        <v>176</v>
      </c>
      <c r="B17" s="13" t="s">
        <v>177</v>
      </c>
      <c r="C17" s="2" t="s">
        <v>178</v>
      </c>
      <c r="D17" s="2" t="s">
        <v>179</v>
      </c>
      <c r="E17" s="2" t="s">
        <v>180</v>
      </c>
      <c r="F17" s="4" t="n">
        <v>2</v>
      </c>
      <c r="G17" s="5" t="n">
        <v>20.8333333333333</v>
      </c>
      <c r="H17" s="6" t="n">
        <f aca="false">F17*G17</f>
        <v>41.6666666666667</v>
      </c>
      <c r="I17" s="12" t="s">
        <v>53</v>
      </c>
      <c r="J17" s="8" t="n">
        <v>0</v>
      </c>
      <c r="K17" s="2" t="s">
        <v>54</v>
      </c>
      <c r="L17" s="8" t="n">
        <v>0</v>
      </c>
      <c r="M17" s="9" t="n">
        <v>0</v>
      </c>
      <c r="N17" s="2" t="str">
        <f aca="false">IF(L17=0,"None",IF(M17&gt;0.6,"High",IF(M17&gt;0.2,"Medium","Low")))</f>
        <v>None</v>
      </c>
      <c r="O17" s="10" t="n">
        <f aca="false">J17+(L17-J17)*M17</f>
        <v>0</v>
      </c>
      <c r="P17" s="2"/>
      <c r="Q17" s="2" t="s">
        <v>181</v>
      </c>
      <c r="R17" s="2" t="s">
        <v>182</v>
      </c>
      <c r="S17" s="2" t="s">
        <v>79</v>
      </c>
      <c r="T17" s="2" t="s">
        <v>40</v>
      </c>
      <c r="U17" s="11" t="s">
        <v>183</v>
      </c>
      <c r="V17" s="2"/>
      <c r="W17" s="2" t="s">
        <v>73</v>
      </c>
      <c r="X17" s="2" t="s">
        <v>61</v>
      </c>
      <c r="Y17" s="2" t="s">
        <v>45</v>
      </c>
      <c r="Z17" s="2" t="s">
        <v>46</v>
      </c>
      <c r="AA17" s="2" t="s">
        <v>184</v>
      </c>
      <c r="AB17" s="2" t="s">
        <v>185</v>
      </c>
      <c r="AC17" s="2" t="s">
        <v>49</v>
      </c>
    </row>
    <row r="18" customFormat="false" ht="22.35" hidden="false" customHeight="false" outlineLevel="0" collapsed="false">
      <c r="A18" s="2" t="s">
        <v>186</v>
      </c>
      <c r="B18" s="13" t="s">
        <v>177</v>
      </c>
      <c r="C18" s="2" t="s">
        <v>178</v>
      </c>
      <c r="D18" s="2" t="s">
        <v>179</v>
      </c>
      <c r="E18" s="2" t="s">
        <v>180</v>
      </c>
      <c r="F18" s="4" t="n">
        <v>6</v>
      </c>
      <c r="G18" s="5" t="n">
        <v>20.8333333333333</v>
      </c>
      <c r="H18" s="6" t="n">
        <f aca="false">F18*G18</f>
        <v>125</v>
      </c>
      <c r="I18" s="7" t="s">
        <v>34</v>
      </c>
      <c r="J18" s="8" t="n">
        <v>0</v>
      </c>
      <c r="K18" s="2" t="s">
        <v>54</v>
      </c>
      <c r="L18" s="8" t="n">
        <v>0</v>
      </c>
      <c r="M18" s="9" t="n">
        <v>0</v>
      </c>
      <c r="N18" s="2" t="str">
        <f aca="false">IF(L18=0,"None",IF(M18&gt;0.6,"High",IF(M18&gt;0.2,"Medium","Low")))</f>
        <v>None</v>
      </c>
      <c r="O18" s="10" t="n">
        <f aca="false">J18+(L18-J18)*M18</f>
        <v>0</v>
      </c>
      <c r="P18" s="2"/>
      <c r="Q18" s="2" t="s">
        <v>187</v>
      </c>
      <c r="R18" s="2" t="s">
        <v>188</v>
      </c>
      <c r="S18" s="2" t="s">
        <v>189</v>
      </c>
      <c r="T18" s="2" t="s">
        <v>40</v>
      </c>
      <c r="U18" s="11" t="s">
        <v>190</v>
      </c>
      <c r="V18" s="2" t="s">
        <v>191</v>
      </c>
      <c r="W18" s="2" t="s">
        <v>192</v>
      </c>
      <c r="X18" s="2" t="s">
        <v>61</v>
      </c>
      <c r="Y18" s="2" t="s">
        <v>45</v>
      </c>
      <c r="Z18" s="2" t="s">
        <v>46</v>
      </c>
      <c r="AA18" s="2" t="s">
        <v>193</v>
      </c>
      <c r="AB18" s="2" t="s">
        <v>194</v>
      </c>
      <c r="AC18" s="2" t="s">
        <v>112</v>
      </c>
    </row>
    <row r="19" customFormat="false" ht="22.35" hidden="false" customHeight="false" outlineLevel="0" collapsed="false">
      <c r="A19" s="2" t="s">
        <v>195</v>
      </c>
      <c r="B19" s="13" t="s">
        <v>177</v>
      </c>
      <c r="C19" s="2" t="s">
        <v>178</v>
      </c>
      <c r="D19" s="2" t="s">
        <v>179</v>
      </c>
      <c r="E19" s="2" t="s">
        <v>180</v>
      </c>
      <c r="F19" s="4" t="n">
        <v>3</v>
      </c>
      <c r="G19" s="5" t="n">
        <v>20.8333333333333</v>
      </c>
      <c r="H19" s="6" t="n">
        <f aca="false">F19*G19</f>
        <v>62.5</v>
      </c>
      <c r="I19" s="7" t="s">
        <v>34</v>
      </c>
      <c r="J19" s="8" t="n">
        <v>0</v>
      </c>
      <c r="K19" s="2" t="s">
        <v>54</v>
      </c>
      <c r="L19" s="8" t="n">
        <v>0</v>
      </c>
      <c r="M19" s="9" t="n">
        <v>0</v>
      </c>
      <c r="N19" s="2" t="str">
        <f aca="false">IF(L19=0,"None",IF(M19&gt;0.6,"High",IF(M19&gt;0.2,"Medium","Low")))</f>
        <v>None</v>
      </c>
      <c r="O19" s="10" t="n">
        <f aca="false">J19+(L19-J19)*M19</f>
        <v>0</v>
      </c>
      <c r="P19" s="2"/>
      <c r="Q19" s="2" t="s">
        <v>145</v>
      </c>
      <c r="R19" s="2" t="s">
        <v>196</v>
      </c>
      <c r="S19" s="2" t="s">
        <v>197</v>
      </c>
      <c r="T19" s="2" t="s">
        <v>40</v>
      </c>
      <c r="U19" s="11" t="s">
        <v>198</v>
      </c>
      <c r="V19" s="2" t="s">
        <v>199</v>
      </c>
      <c r="W19" s="2" t="s">
        <v>73</v>
      </c>
      <c r="X19" s="2" t="s">
        <v>61</v>
      </c>
      <c r="Y19" s="2" t="s">
        <v>45</v>
      </c>
      <c r="Z19" s="2" t="s">
        <v>46</v>
      </c>
      <c r="AA19" s="2"/>
      <c r="AB19" s="2" t="s">
        <v>199</v>
      </c>
      <c r="AC19" s="2" t="s">
        <v>112</v>
      </c>
    </row>
    <row r="20" customFormat="false" ht="32.8" hidden="false" customHeight="false" outlineLevel="0" collapsed="false">
      <c r="A20" s="2" t="s">
        <v>200</v>
      </c>
      <c r="B20" s="13" t="s">
        <v>177</v>
      </c>
      <c r="C20" s="2" t="s">
        <v>178</v>
      </c>
      <c r="D20" s="2" t="s">
        <v>179</v>
      </c>
      <c r="E20" s="2" t="s">
        <v>180</v>
      </c>
      <c r="F20" s="4" t="n">
        <v>1</v>
      </c>
      <c r="G20" s="5" t="n">
        <v>20.8333333333333</v>
      </c>
      <c r="H20" s="6" t="n">
        <f aca="false">F20*G20</f>
        <v>20.8333333333333</v>
      </c>
      <c r="I20" s="12" t="s">
        <v>53</v>
      </c>
      <c r="J20" s="8" t="n">
        <v>0</v>
      </c>
      <c r="K20" s="2" t="s">
        <v>54</v>
      </c>
      <c r="L20" s="8" t="n">
        <v>0</v>
      </c>
      <c r="M20" s="9" t="n">
        <v>0</v>
      </c>
      <c r="N20" s="2" t="str">
        <f aca="false">IF(L20=0,"None",IF(M20&gt;0.6,"High",IF(M20&gt;0.2,"Medium","Low")))</f>
        <v>None</v>
      </c>
      <c r="O20" s="10" t="n">
        <f aca="false">J20+(L20-J20)*M20</f>
        <v>0</v>
      </c>
      <c r="P20" s="2"/>
      <c r="Q20" s="2" t="s">
        <v>201</v>
      </c>
      <c r="R20" s="2" t="s">
        <v>202</v>
      </c>
      <c r="S20" s="2" t="s">
        <v>203</v>
      </c>
      <c r="T20" s="2" t="s">
        <v>40</v>
      </c>
      <c r="U20" s="11" t="s">
        <v>204</v>
      </c>
      <c r="V20" s="2"/>
      <c r="W20" s="2" t="s">
        <v>73</v>
      </c>
      <c r="X20" s="2" t="s">
        <v>61</v>
      </c>
      <c r="Y20" s="2" t="s">
        <v>45</v>
      </c>
      <c r="Z20" s="2" t="s">
        <v>205</v>
      </c>
      <c r="AA20" s="2" t="s">
        <v>206</v>
      </c>
      <c r="AB20" s="2" t="s">
        <v>207</v>
      </c>
      <c r="AC20" s="2" t="s">
        <v>112</v>
      </c>
    </row>
    <row r="21" customFormat="false" ht="22.35" hidden="false" customHeight="false" outlineLevel="0" collapsed="false">
      <c r="A21" s="2" t="s">
        <v>208</v>
      </c>
      <c r="B21" s="13" t="s">
        <v>177</v>
      </c>
      <c r="C21" s="2" t="s">
        <v>178</v>
      </c>
      <c r="D21" s="2" t="s">
        <v>179</v>
      </c>
      <c r="E21" s="2" t="s">
        <v>180</v>
      </c>
      <c r="F21" s="4" t="n">
        <v>1</v>
      </c>
      <c r="G21" s="5" t="n">
        <v>20.8333333333333</v>
      </c>
      <c r="H21" s="6" t="n">
        <f aca="false">F21*G21</f>
        <v>20.8333333333333</v>
      </c>
      <c r="I21" s="13" t="s">
        <v>125</v>
      </c>
      <c r="J21" s="8" t="n">
        <v>0</v>
      </c>
      <c r="K21" s="2" t="s">
        <v>54</v>
      </c>
      <c r="L21" s="8" t="n">
        <v>0</v>
      </c>
      <c r="M21" s="9" t="n">
        <v>0</v>
      </c>
      <c r="N21" s="2" t="str">
        <f aca="false">IF(L21=0,"None",IF(M21&gt;0.6,"High",IF(M21&gt;0.2,"Medium","Low")))</f>
        <v>None</v>
      </c>
      <c r="O21" s="10" t="n">
        <f aca="false">J21+(L21-J21)*M21</f>
        <v>0</v>
      </c>
      <c r="P21" s="2"/>
      <c r="Q21" s="2" t="s">
        <v>55</v>
      </c>
      <c r="R21" s="2" t="s">
        <v>209</v>
      </c>
      <c r="S21" s="2" t="s">
        <v>197</v>
      </c>
      <c r="T21" s="2" t="s">
        <v>40</v>
      </c>
      <c r="U21" s="11" t="s">
        <v>210</v>
      </c>
      <c r="V21" s="2"/>
      <c r="W21" s="2" t="s">
        <v>73</v>
      </c>
      <c r="X21" s="2" t="s">
        <v>61</v>
      </c>
      <c r="Y21" s="2" t="s">
        <v>45</v>
      </c>
      <c r="Z21" s="2" t="s">
        <v>132</v>
      </c>
      <c r="AA21" s="2"/>
      <c r="AB21" s="2"/>
      <c r="AC21" s="2" t="s">
        <v>112</v>
      </c>
    </row>
    <row r="22" customFormat="false" ht="22.35" hidden="false" customHeight="false" outlineLevel="0" collapsed="false">
      <c r="A22" s="2" t="s">
        <v>211</v>
      </c>
      <c r="B22" s="13" t="s">
        <v>177</v>
      </c>
      <c r="C22" s="2" t="s">
        <v>178</v>
      </c>
      <c r="D22" s="2" t="s">
        <v>179</v>
      </c>
      <c r="E22" s="2" t="s">
        <v>180</v>
      </c>
      <c r="F22" s="4" t="n">
        <v>3</v>
      </c>
      <c r="G22" s="5" t="n">
        <v>20.8333333333333</v>
      </c>
      <c r="H22" s="6" t="n">
        <f aca="false">F22*G22</f>
        <v>62.5</v>
      </c>
      <c r="I22" s="13" t="s">
        <v>125</v>
      </c>
      <c r="J22" s="8" t="n">
        <v>0</v>
      </c>
      <c r="K22" s="2" t="s">
        <v>54</v>
      </c>
      <c r="L22" s="8" t="n">
        <v>0</v>
      </c>
      <c r="M22" s="9" t="n">
        <v>0</v>
      </c>
      <c r="N22" s="2" t="str">
        <f aca="false">IF(L22=0,"None",IF(M22&gt;0.6,"High",IF(M22&gt;0.2,"Medium","Low")))</f>
        <v>None</v>
      </c>
      <c r="O22" s="10" t="n">
        <f aca="false">J22+(L22-J22)*M22</f>
        <v>0</v>
      </c>
      <c r="P22" s="2"/>
      <c r="Q22" s="2" t="s">
        <v>212</v>
      </c>
      <c r="R22" s="2" t="s">
        <v>213</v>
      </c>
      <c r="S22" s="2" t="s">
        <v>197</v>
      </c>
      <c r="T22" s="2" t="s">
        <v>40</v>
      </c>
      <c r="U22" s="11" t="s">
        <v>214</v>
      </c>
      <c r="V22" s="2" t="s">
        <v>215</v>
      </c>
      <c r="W22" s="2" t="s">
        <v>73</v>
      </c>
      <c r="X22" s="2" t="s">
        <v>61</v>
      </c>
      <c r="Y22" s="2" t="s">
        <v>45</v>
      </c>
      <c r="Z22" s="2" t="s">
        <v>216</v>
      </c>
      <c r="AA22" s="2" t="s">
        <v>217</v>
      </c>
      <c r="AB22" s="2" t="s">
        <v>215</v>
      </c>
      <c r="AC22" s="2" t="s">
        <v>112</v>
      </c>
    </row>
    <row r="23" customFormat="false" ht="32.8" hidden="false" customHeight="false" outlineLevel="0" collapsed="false">
      <c r="A23" s="2" t="s">
        <v>218</v>
      </c>
      <c r="B23" s="13" t="s">
        <v>177</v>
      </c>
      <c r="C23" s="2" t="s">
        <v>178</v>
      </c>
      <c r="D23" s="2" t="s">
        <v>179</v>
      </c>
      <c r="E23" s="2" t="s">
        <v>180</v>
      </c>
      <c r="F23" s="4" t="n">
        <v>1</v>
      </c>
      <c r="G23" s="5" t="n">
        <v>20.8333333333333</v>
      </c>
      <c r="H23" s="6" t="n">
        <f aca="false">F23*G23</f>
        <v>20.8333333333333</v>
      </c>
      <c r="I23" s="12" t="s">
        <v>53</v>
      </c>
      <c r="J23" s="8" t="n">
        <v>0</v>
      </c>
      <c r="K23" s="2" t="s">
        <v>54</v>
      </c>
      <c r="L23" s="8" t="n">
        <v>0</v>
      </c>
      <c r="M23" s="9" t="n">
        <v>0</v>
      </c>
      <c r="N23" s="2" t="str">
        <f aca="false">IF(L23=0,"None",IF(M23&gt;0.6,"High",IF(M23&gt;0.2,"Medium","Low")))</f>
        <v>None</v>
      </c>
      <c r="O23" s="10" t="n">
        <f aca="false">J23+(L23-J23)*M23</f>
        <v>0</v>
      </c>
      <c r="P23" s="2"/>
      <c r="Q23" s="2" t="s">
        <v>145</v>
      </c>
      <c r="R23" s="2" t="s">
        <v>219</v>
      </c>
      <c r="S23" s="2" t="s">
        <v>220</v>
      </c>
      <c r="T23" s="2" t="s">
        <v>221</v>
      </c>
      <c r="U23" s="11" t="s">
        <v>222</v>
      </c>
      <c r="V23" s="2" t="s">
        <v>223</v>
      </c>
      <c r="W23" s="2" t="s">
        <v>60</v>
      </c>
      <c r="X23" s="2" t="s">
        <v>61</v>
      </c>
      <c r="Y23" s="2" t="s">
        <v>224</v>
      </c>
      <c r="Z23" s="2" t="s">
        <v>46</v>
      </c>
      <c r="AA23" s="2" t="s">
        <v>225</v>
      </c>
      <c r="AB23" s="2" t="s">
        <v>226</v>
      </c>
      <c r="AC23" s="2" t="s">
        <v>112</v>
      </c>
    </row>
    <row r="24" customFormat="false" ht="15" hidden="false" customHeight="false" outlineLevel="0" collapsed="false">
      <c r="A24" s="2" t="s">
        <v>227</v>
      </c>
      <c r="B24" s="13" t="s">
        <v>177</v>
      </c>
      <c r="C24" s="2" t="s">
        <v>228</v>
      </c>
      <c r="D24" s="2" t="s">
        <v>229</v>
      </c>
      <c r="E24" s="2" t="s">
        <v>230</v>
      </c>
      <c r="F24" s="4" t="n">
        <v>1</v>
      </c>
      <c r="G24" s="5" t="n">
        <v>20.8333333333333</v>
      </c>
      <c r="H24" s="6" t="n">
        <f aca="false">F24*G24</f>
        <v>20.8333333333333</v>
      </c>
      <c r="I24" s="12" t="s">
        <v>53</v>
      </c>
      <c r="J24" s="8" t="n">
        <v>0</v>
      </c>
      <c r="K24" s="2" t="s">
        <v>54</v>
      </c>
      <c r="L24" s="8" t="n">
        <v>0</v>
      </c>
      <c r="M24" s="9" t="n">
        <v>0</v>
      </c>
      <c r="N24" s="2" t="str">
        <f aca="false">IF(L24=0,"None",IF(M24&gt;0.6,"High",IF(M24&gt;0.2,"Medium","Low")))</f>
        <v>None</v>
      </c>
      <c r="O24" s="10" t="n">
        <f aca="false">J24+(L24-J24)*M24</f>
        <v>0</v>
      </c>
      <c r="P24" s="2"/>
      <c r="Q24" s="2" t="s">
        <v>153</v>
      </c>
      <c r="R24" s="2" t="s">
        <v>231</v>
      </c>
      <c r="S24" s="2" t="s">
        <v>232</v>
      </c>
      <c r="T24" s="2" t="s">
        <v>233</v>
      </c>
      <c r="U24" s="11" t="s">
        <v>234</v>
      </c>
      <c r="V24" s="2"/>
      <c r="W24" s="2" t="s">
        <v>60</v>
      </c>
      <c r="X24" s="2" t="s">
        <v>61</v>
      </c>
      <c r="Y24" s="2" t="s">
        <v>131</v>
      </c>
      <c r="Z24" s="2" t="s">
        <v>132</v>
      </c>
      <c r="AA24" s="2" t="s">
        <v>235</v>
      </c>
      <c r="AB24" s="2"/>
      <c r="AC24" s="2" t="s">
        <v>112</v>
      </c>
    </row>
    <row r="25" customFormat="false" ht="22.35" hidden="false" customHeight="false" outlineLevel="0" collapsed="false">
      <c r="A25" s="2" t="s">
        <v>236</v>
      </c>
      <c r="B25" s="13" t="s">
        <v>177</v>
      </c>
      <c r="C25" s="2" t="s">
        <v>228</v>
      </c>
      <c r="D25" s="2" t="s">
        <v>229</v>
      </c>
      <c r="E25" s="2" t="s">
        <v>230</v>
      </c>
      <c r="F25" s="4" t="n">
        <v>1</v>
      </c>
      <c r="G25" s="5" t="n">
        <v>20.8333333333333</v>
      </c>
      <c r="H25" s="6" t="n">
        <f aca="false">F25*G25</f>
        <v>20.8333333333333</v>
      </c>
      <c r="I25" s="12" t="s">
        <v>53</v>
      </c>
      <c r="J25" s="8" t="n">
        <v>0</v>
      </c>
      <c r="K25" s="2" t="s">
        <v>54</v>
      </c>
      <c r="L25" s="8" t="n">
        <v>0</v>
      </c>
      <c r="M25" s="9" t="n">
        <v>0</v>
      </c>
      <c r="N25" s="2" t="str">
        <f aca="false">IF(L25=0,"None",IF(M25&gt;0.6,"High",IF(M25&gt;0.2,"Medium","Low")))</f>
        <v>None</v>
      </c>
      <c r="O25" s="10" t="n">
        <f aca="false">J25+(L25-J25)*M25</f>
        <v>0</v>
      </c>
      <c r="P25" s="2"/>
      <c r="Q25" s="2" t="s">
        <v>153</v>
      </c>
      <c r="R25" s="2" t="s">
        <v>237</v>
      </c>
      <c r="S25" s="2" t="s">
        <v>238</v>
      </c>
      <c r="T25" s="2" t="s">
        <v>128</v>
      </c>
      <c r="U25" s="11" t="s">
        <v>239</v>
      </c>
      <c r="V25" s="2" t="s">
        <v>240</v>
      </c>
      <c r="W25" s="2" t="s">
        <v>60</v>
      </c>
      <c r="X25" s="2" t="s">
        <v>61</v>
      </c>
      <c r="Y25" s="2" t="s">
        <v>131</v>
      </c>
      <c r="Z25" s="2" t="s">
        <v>132</v>
      </c>
      <c r="AA25" s="2"/>
      <c r="AB25" s="2"/>
      <c r="AC25" s="2" t="s">
        <v>112</v>
      </c>
    </row>
    <row r="26" customFormat="false" ht="22.35" hidden="false" customHeight="false" outlineLevel="0" collapsed="false">
      <c r="A26" s="2" t="s">
        <v>241</v>
      </c>
      <c r="B26" s="13" t="s">
        <v>177</v>
      </c>
      <c r="C26" s="2" t="s">
        <v>228</v>
      </c>
      <c r="D26" s="2" t="s">
        <v>229</v>
      </c>
      <c r="E26" s="2" t="s">
        <v>230</v>
      </c>
      <c r="F26" s="4" t="n">
        <v>1</v>
      </c>
      <c r="G26" s="5" t="n">
        <v>20.8333333333333</v>
      </c>
      <c r="H26" s="6" t="n">
        <f aca="false">F26*G26</f>
        <v>20.8333333333333</v>
      </c>
      <c r="I26" s="13" t="s">
        <v>125</v>
      </c>
      <c r="J26" s="8" t="n">
        <v>0</v>
      </c>
      <c r="K26" s="2" t="s">
        <v>54</v>
      </c>
      <c r="L26" s="8" t="n">
        <v>0</v>
      </c>
      <c r="M26" s="9" t="n">
        <v>0</v>
      </c>
      <c r="N26" s="2" t="str">
        <f aca="false">IF(L26=0,"None",IF(M26&gt;0.6,"High",IF(M26&gt;0.2,"Medium","Low")))</f>
        <v>None</v>
      </c>
      <c r="O26" s="10" t="n">
        <f aca="false">J26+(L26-J26)*M26</f>
        <v>0</v>
      </c>
      <c r="P26" s="2"/>
      <c r="Q26" s="2" t="s">
        <v>153</v>
      </c>
      <c r="R26" s="2" t="s">
        <v>242</v>
      </c>
      <c r="S26" s="2" t="s">
        <v>243</v>
      </c>
      <c r="T26" s="2" t="s">
        <v>128</v>
      </c>
      <c r="U26" s="11" t="s">
        <v>244</v>
      </c>
      <c r="V26" s="2"/>
      <c r="W26" s="2" t="s">
        <v>60</v>
      </c>
      <c r="X26" s="2" t="s">
        <v>61</v>
      </c>
      <c r="Y26" s="2" t="s">
        <v>131</v>
      </c>
      <c r="Z26" s="2" t="s">
        <v>132</v>
      </c>
      <c r="AA26" s="2" t="s">
        <v>245</v>
      </c>
      <c r="AB26" s="2"/>
      <c r="AC26" s="2" t="s">
        <v>246</v>
      </c>
    </row>
    <row r="27" customFormat="false" ht="15" hidden="false" customHeight="false" outlineLevel="0" collapsed="false">
      <c r="A27" s="2" t="s">
        <v>247</v>
      </c>
      <c r="B27" s="13" t="s">
        <v>177</v>
      </c>
      <c r="C27" s="2" t="s">
        <v>228</v>
      </c>
      <c r="D27" s="2" t="s">
        <v>229</v>
      </c>
      <c r="E27" s="2" t="s">
        <v>230</v>
      </c>
      <c r="F27" s="4" t="n">
        <v>1</v>
      </c>
      <c r="G27" s="5" t="n">
        <v>20.8333333333333</v>
      </c>
      <c r="H27" s="6" t="n">
        <f aca="false">F27*G27</f>
        <v>20.8333333333333</v>
      </c>
      <c r="I27" s="12" t="s">
        <v>53</v>
      </c>
      <c r="J27" s="8" t="n">
        <v>0</v>
      </c>
      <c r="K27" s="2" t="s">
        <v>54</v>
      </c>
      <c r="L27" s="8" t="n">
        <v>0</v>
      </c>
      <c r="M27" s="9" t="n">
        <v>0</v>
      </c>
      <c r="N27" s="2" t="str">
        <f aca="false">IF(L27=0,"None",IF(M27&gt;0.6,"High",IF(M27&gt;0.2,"Medium","Low")))</f>
        <v>None</v>
      </c>
      <c r="O27" s="10" t="n">
        <f aca="false">J27+(L27-J27)*M27</f>
        <v>0</v>
      </c>
      <c r="P27" s="2"/>
      <c r="Q27" s="2" t="s">
        <v>55</v>
      </c>
      <c r="R27" s="2" t="s">
        <v>248</v>
      </c>
      <c r="S27" s="2" t="s">
        <v>249</v>
      </c>
      <c r="T27" s="2" t="s">
        <v>250</v>
      </c>
      <c r="U27" s="11" t="s">
        <v>251</v>
      </c>
      <c r="V27" s="2" t="s">
        <v>252</v>
      </c>
      <c r="W27" s="2" t="s">
        <v>60</v>
      </c>
      <c r="X27" s="2" t="s">
        <v>61</v>
      </c>
      <c r="Y27" s="2" t="s">
        <v>253</v>
      </c>
      <c r="Z27" s="2" t="s">
        <v>46</v>
      </c>
      <c r="AA27" s="2"/>
      <c r="AB27" s="2"/>
      <c r="AC27" s="2" t="s">
        <v>112</v>
      </c>
    </row>
    <row r="28" customFormat="false" ht="32.8" hidden="false" customHeight="false" outlineLevel="0" collapsed="false">
      <c r="A28" s="2" t="s">
        <v>254</v>
      </c>
      <c r="B28" s="13" t="s">
        <v>177</v>
      </c>
      <c r="C28" s="2" t="s">
        <v>228</v>
      </c>
      <c r="D28" s="2" t="s">
        <v>229</v>
      </c>
      <c r="E28" s="2" t="s">
        <v>230</v>
      </c>
      <c r="F28" s="4" t="n">
        <v>1</v>
      </c>
      <c r="G28" s="5" t="n">
        <v>20.8333333333333</v>
      </c>
      <c r="H28" s="6" t="n">
        <f aca="false">F28*G28</f>
        <v>20.8333333333333</v>
      </c>
      <c r="I28" s="7" t="s">
        <v>34</v>
      </c>
      <c r="J28" s="8" t="n">
        <v>0</v>
      </c>
      <c r="K28" s="2" t="s">
        <v>54</v>
      </c>
      <c r="L28" s="8" t="n">
        <v>0</v>
      </c>
      <c r="M28" s="9" t="n">
        <v>0</v>
      </c>
      <c r="N28" s="2" t="str">
        <f aca="false">IF(L28=0,"None",IF(M28&gt;0.6,"High",IF(M28&gt;0.2,"Medium","Low")))</f>
        <v>None</v>
      </c>
      <c r="O28" s="10" t="n">
        <f aca="false">J28+(L28-J28)*M28</f>
        <v>0</v>
      </c>
      <c r="P28" s="2"/>
      <c r="Q28" s="2" t="s">
        <v>255</v>
      </c>
      <c r="R28" s="2" t="s">
        <v>256</v>
      </c>
      <c r="S28" s="2" t="s">
        <v>257</v>
      </c>
      <c r="T28" s="2" t="s">
        <v>258</v>
      </c>
      <c r="U28" s="11" t="s">
        <v>259</v>
      </c>
      <c r="V28" s="2" t="s">
        <v>260</v>
      </c>
      <c r="W28" s="2" t="s">
        <v>60</v>
      </c>
      <c r="X28" s="2" t="s">
        <v>61</v>
      </c>
      <c r="Y28" s="2" t="s">
        <v>261</v>
      </c>
      <c r="Z28" s="2" t="s">
        <v>46</v>
      </c>
      <c r="AA28" s="2" t="s">
        <v>262</v>
      </c>
      <c r="AB28" s="2"/>
      <c r="AC28" s="2" t="s">
        <v>112</v>
      </c>
    </row>
    <row r="29" customFormat="false" ht="32.8" hidden="false" customHeight="false" outlineLevel="0" collapsed="false">
      <c r="A29" s="2" t="s">
        <v>263</v>
      </c>
      <c r="B29" s="13" t="s">
        <v>177</v>
      </c>
      <c r="C29" s="2" t="s">
        <v>228</v>
      </c>
      <c r="D29" s="2" t="s">
        <v>229</v>
      </c>
      <c r="E29" s="2" t="s">
        <v>230</v>
      </c>
      <c r="F29" s="4" t="n">
        <v>3</v>
      </c>
      <c r="G29" s="5" t="n">
        <v>20.8333333333333</v>
      </c>
      <c r="H29" s="6" t="n">
        <f aca="false">F29*G29</f>
        <v>62.5</v>
      </c>
      <c r="I29" s="12" t="s">
        <v>53</v>
      </c>
      <c r="J29" s="8" t="n">
        <v>0</v>
      </c>
      <c r="K29" s="2" t="s">
        <v>54</v>
      </c>
      <c r="L29" s="8" t="n">
        <v>0</v>
      </c>
      <c r="M29" s="9" t="n">
        <v>0</v>
      </c>
      <c r="N29" s="2" t="str">
        <f aca="false">IF(L29=0,"None",IF(M29&gt;0.6,"High",IF(M29&gt;0.2,"Medium","Low")))</f>
        <v>None</v>
      </c>
      <c r="O29" s="10" t="n">
        <f aca="false">J29+(L29-J29)*M29</f>
        <v>0</v>
      </c>
      <c r="P29" s="2"/>
      <c r="Q29" s="2" t="s">
        <v>255</v>
      </c>
      <c r="R29" s="2" t="s">
        <v>264</v>
      </c>
      <c r="S29" s="2" t="s">
        <v>265</v>
      </c>
      <c r="T29" s="2" t="s">
        <v>40</v>
      </c>
      <c r="U29" s="11" t="s">
        <v>266</v>
      </c>
      <c r="V29" s="2" t="s">
        <v>267</v>
      </c>
      <c r="W29" s="2" t="s">
        <v>60</v>
      </c>
      <c r="X29" s="2" t="s">
        <v>61</v>
      </c>
      <c r="Y29" s="2" t="s">
        <v>45</v>
      </c>
      <c r="Z29" s="2" t="s">
        <v>46</v>
      </c>
      <c r="AA29" s="2"/>
      <c r="AB29" s="2" t="s">
        <v>268</v>
      </c>
      <c r="AC29" s="2" t="s">
        <v>112</v>
      </c>
    </row>
    <row r="30" customFormat="false" ht="22.35" hidden="false" customHeight="false" outlineLevel="0" collapsed="false">
      <c r="A30" s="2" t="s">
        <v>269</v>
      </c>
      <c r="B30" s="13" t="s">
        <v>177</v>
      </c>
      <c r="C30" s="2" t="s">
        <v>228</v>
      </c>
      <c r="D30" s="2" t="s">
        <v>229</v>
      </c>
      <c r="E30" s="2" t="s">
        <v>230</v>
      </c>
      <c r="F30" s="4" t="n">
        <v>1</v>
      </c>
      <c r="G30" s="5" t="n">
        <v>20.8333333333333</v>
      </c>
      <c r="H30" s="6" t="n">
        <f aca="false">F30*G30</f>
        <v>20.8333333333333</v>
      </c>
      <c r="I30" s="7" t="s">
        <v>34</v>
      </c>
      <c r="J30" s="8" t="n">
        <v>0</v>
      </c>
      <c r="K30" s="2" t="s">
        <v>54</v>
      </c>
      <c r="L30" s="8" t="n">
        <v>0</v>
      </c>
      <c r="M30" s="9" t="n">
        <v>0</v>
      </c>
      <c r="N30" s="2" t="str">
        <f aca="false">IF(L30=0,"None",IF(M30&gt;0.6,"High",IF(M30&gt;0.2,"Medium","Low")))</f>
        <v>None</v>
      </c>
      <c r="O30" s="10" t="n">
        <f aca="false">J30+(L30-J30)*M30</f>
        <v>0</v>
      </c>
      <c r="P30" s="2"/>
      <c r="Q30" s="2" t="s">
        <v>270</v>
      </c>
      <c r="R30" s="2" t="s">
        <v>271</v>
      </c>
      <c r="S30" s="2" t="s">
        <v>272</v>
      </c>
      <c r="T30" s="2" t="s">
        <v>128</v>
      </c>
      <c r="U30" s="11" t="s">
        <v>273</v>
      </c>
      <c r="V30" s="2" t="s">
        <v>274</v>
      </c>
      <c r="W30" s="2" t="s">
        <v>60</v>
      </c>
      <c r="X30" s="2" t="s">
        <v>61</v>
      </c>
      <c r="Y30" s="2" t="s">
        <v>131</v>
      </c>
      <c r="Z30" s="2" t="s">
        <v>46</v>
      </c>
      <c r="AA30" s="2" t="s">
        <v>275</v>
      </c>
      <c r="AB30" s="2"/>
      <c r="AC30" s="2" t="s">
        <v>112</v>
      </c>
    </row>
    <row r="31" customFormat="false" ht="22.35" hidden="false" customHeight="false" outlineLevel="0" collapsed="false">
      <c r="A31" s="2" t="s">
        <v>276</v>
      </c>
      <c r="B31" s="13" t="s">
        <v>177</v>
      </c>
      <c r="C31" s="2" t="s">
        <v>228</v>
      </c>
      <c r="D31" s="2" t="s">
        <v>229</v>
      </c>
      <c r="E31" s="2" t="s">
        <v>230</v>
      </c>
      <c r="F31" s="4" t="n">
        <v>1</v>
      </c>
      <c r="G31" s="5" t="n">
        <v>20.8333333333333</v>
      </c>
      <c r="H31" s="6" t="n">
        <f aca="false">F31*G31</f>
        <v>20.8333333333333</v>
      </c>
      <c r="I31" s="13" t="s">
        <v>125</v>
      </c>
      <c r="J31" s="8" t="n">
        <v>0</v>
      </c>
      <c r="K31" s="2" t="s">
        <v>54</v>
      </c>
      <c r="L31" s="8" t="n">
        <v>0</v>
      </c>
      <c r="M31" s="9" t="n">
        <v>0</v>
      </c>
      <c r="N31" s="2" t="str">
        <f aca="false">IF(L31=0,"None",IF(M31&gt;0.6,"High",IF(M31&gt;0.2,"Medium","Low")))</f>
        <v>None</v>
      </c>
      <c r="O31" s="10" t="n">
        <f aca="false">J31+(L31-J31)*M31</f>
        <v>0</v>
      </c>
      <c r="P31" s="2"/>
      <c r="Q31" s="2" t="s">
        <v>277</v>
      </c>
      <c r="R31" s="2" t="s">
        <v>278</v>
      </c>
      <c r="S31" s="2" t="s">
        <v>279</v>
      </c>
      <c r="T31" s="2" t="s">
        <v>128</v>
      </c>
      <c r="U31" s="11" t="s">
        <v>280</v>
      </c>
      <c r="V31" s="2" t="s">
        <v>281</v>
      </c>
      <c r="W31" s="2" t="s">
        <v>60</v>
      </c>
      <c r="X31" s="2" t="s">
        <v>282</v>
      </c>
      <c r="Y31" s="2" t="s">
        <v>131</v>
      </c>
      <c r="Z31" s="2" t="s">
        <v>132</v>
      </c>
      <c r="AA31" s="2" t="s">
        <v>283</v>
      </c>
      <c r="AB31" s="2"/>
      <c r="AC31" s="2" t="s">
        <v>112</v>
      </c>
    </row>
    <row r="32" customFormat="false" ht="53.7" hidden="false" customHeight="false" outlineLevel="0" collapsed="false">
      <c r="A32" s="2" t="s">
        <v>284</v>
      </c>
      <c r="B32" s="13" t="s">
        <v>177</v>
      </c>
      <c r="C32" s="2" t="s">
        <v>228</v>
      </c>
      <c r="D32" s="2" t="s">
        <v>229</v>
      </c>
      <c r="E32" s="2" t="s">
        <v>230</v>
      </c>
      <c r="F32" s="4" t="n">
        <v>1</v>
      </c>
      <c r="G32" s="5" t="n">
        <v>20.8333333333333</v>
      </c>
      <c r="H32" s="6" t="n">
        <f aca="false">F32*G32</f>
        <v>20.8333333333333</v>
      </c>
      <c r="I32" s="7" t="s">
        <v>34</v>
      </c>
      <c r="J32" s="8" t="n">
        <v>0</v>
      </c>
      <c r="K32" s="2" t="s">
        <v>54</v>
      </c>
      <c r="L32" s="8" t="n">
        <v>0</v>
      </c>
      <c r="M32" s="9" t="n">
        <v>0</v>
      </c>
      <c r="N32" s="2" t="str">
        <f aca="false">IF(L32=0,"None",IF(M32&gt;0.6,"High",IF(M32&gt;0.2,"Medium","Low")))</f>
        <v>None</v>
      </c>
      <c r="O32" s="10" t="n">
        <f aca="false">J32+(L32-J32)*M32</f>
        <v>0</v>
      </c>
      <c r="P32" s="2"/>
      <c r="Q32" s="2" t="s">
        <v>285</v>
      </c>
      <c r="R32" s="2" t="s">
        <v>286</v>
      </c>
      <c r="S32" s="2" t="s">
        <v>287</v>
      </c>
      <c r="T32" s="2" t="s">
        <v>128</v>
      </c>
      <c r="U32" s="11" t="s">
        <v>288</v>
      </c>
      <c r="V32" s="2" t="s">
        <v>289</v>
      </c>
      <c r="W32" s="2" t="s">
        <v>60</v>
      </c>
      <c r="X32" s="2" t="s">
        <v>61</v>
      </c>
      <c r="Y32" s="2" t="s">
        <v>131</v>
      </c>
      <c r="Z32" s="2" t="s">
        <v>46</v>
      </c>
      <c r="AA32" s="2" t="s">
        <v>290</v>
      </c>
      <c r="AB32" s="2"/>
      <c r="AC32" s="2" t="s">
        <v>112</v>
      </c>
    </row>
    <row r="33" customFormat="false" ht="22.35" hidden="false" customHeight="false" outlineLevel="0" collapsed="false">
      <c r="A33" s="2" t="s">
        <v>291</v>
      </c>
      <c r="B33" s="13" t="s">
        <v>177</v>
      </c>
      <c r="C33" s="2" t="s">
        <v>228</v>
      </c>
      <c r="D33" s="2" t="s">
        <v>229</v>
      </c>
      <c r="E33" s="2" t="s">
        <v>230</v>
      </c>
      <c r="F33" s="4" t="n">
        <v>1</v>
      </c>
      <c r="G33" s="5" t="n">
        <v>20.8333333333333</v>
      </c>
      <c r="H33" s="6" t="n">
        <f aca="false">F33*G33</f>
        <v>20.8333333333333</v>
      </c>
      <c r="I33" s="12" t="s">
        <v>53</v>
      </c>
      <c r="J33" s="8" t="n">
        <v>0</v>
      </c>
      <c r="K33" s="2" t="s">
        <v>54</v>
      </c>
      <c r="L33" s="8" t="n">
        <v>0</v>
      </c>
      <c r="M33" s="9" t="n">
        <v>0</v>
      </c>
      <c r="N33" s="2" t="str">
        <f aca="false">IF(L33=0,"None",IF(M33&gt;0.6,"High",IF(M33&gt;0.2,"Medium","Low")))</f>
        <v>None</v>
      </c>
      <c r="O33" s="10" t="n">
        <f aca="false">J33+(L33-J33)*M33</f>
        <v>0</v>
      </c>
      <c r="P33" s="2"/>
      <c r="Q33" s="2" t="s">
        <v>285</v>
      </c>
      <c r="R33" s="2" t="s">
        <v>292</v>
      </c>
      <c r="S33" s="2" t="s">
        <v>293</v>
      </c>
      <c r="T33" s="2" t="s">
        <v>40</v>
      </c>
      <c r="U33" s="11" t="s">
        <v>294</v>
      </c>
      <c r="V33" s="2" t="s">
        <v>295</v>
      </c>
      <c r="W33" s="2" t="s">
        <v>60</v>
      </c>
      <c r="X33" s="2" t="s">
        <v>61</v>
      </c>
      <c r="Y33" s="2" t="s">
        <v>45</v>
      </c>
      <c r="Z33" s="2" t="s">
        <v>46</v>
      </c>
      <c r="AA33" s="2" t="s">
        <v>296</v>
      </c>
      <c r="AB33" s="2" t="s">
        <v>297</v>
      </c>
      <c r="AC33" s="2" t="s">
        <v>112</v>
      </c>
    </row>
    <row r="34" customFormat="false" ht="22.35" hidden="false" customHeight="false" outlineLevel="0" collapsed="false">
      <c r="A34" s="2" t="s">
        <v>298</v>
      </c>
      <c r="B34" s="13" t="s">
        <v>177</v>
      </c>
      <c r="C34" s="2" t="s">
        <v>228</v>
      </c>
      <c r="D34" s="2" t="s">
        <v>229</v>
      </c>
      <c r="E34" s="2" t="s">
        <v>230</v>
      </c>
      <c r="F34" s="4" t="n">
        <v>1</v>
      </c>
      <c r="G34" s="5" t="n">
        <v>20.8333333333333</v>
      </c>
      <c r="H34" s="6" t="n">
        <f aca="false">F34*G34</f>
        <v>20.8333333333333</v>
      </c>
      <c r="I34" s="12" t="s">
        <v>53</v>
      </c>
      <c r="J34" s="8" t="n">
        <v>0</v>
      </c>
      <c r="K34" s="2" t="s">
        <v>54</v>
      </c>
      <c r="L34" s="8" t="n">
        <v>0</v>
      </c>
      <c r="M34" s="9" t="n">
        <v>0</v>
      </c>
      <c r="N34" s="2" t="str">
        <f aca="false">IF(L34=0,"None",IF(M34&gt;0.6,"High",IF(M34&gt;0.2,"Medium","Low")))</f>
        <v>None</v>
      </c>
      <c r="O34" s="10" t="n">
        <f aca="false">J34+(L34-J34)*M34</f>
        <v>0</v>
      </c>
      <c r="P34" s="2"/>
      <c r="Q34" s="2" t="s">
        <v>171</v>
      </c>
      <c r="R34" s="2" t="s">
        <v>299</v>
      </c>
      <c r="S34" s="2" t="s">
        <v>300</v>
      </c>
      <c r="T34" s="2" t="s">
        <v>128</v>
      </c>
      <c r="U34" s="11" t="s">
        <v>301</v>
      </c>
      <c r="V34" s="2"/>
      <c r="W34" s="2" t="s">
        <v>60</v>
      </c>
      <c r="X34" s="2" t="s">
        <v>61</v>
      </c>
      <c r="Y34" s="2" t="s">
        <v>131</v>
      </c>
      <c r="Z34" s="2" t="s">
        <v>46</v>
      </c>
      <c r="AA34" s="2"/>
      <c r="AB34" s="2"/>
      <c r="AC34" s="2" t="s">
        <v>112</v>
      </c>
    </row>
    <row r="35" customFormat="false" ht="22.35" hidden="false" customHeight="false" outlineLevel="0" collapsed="false">
      <c r="A35" s="2" t="s">
        <v>302</v>
      </c>
      <c r="B35" s="13" t="s">
        <v>177</v>
      </c>
      <c r="C35" s="2" t="s">
        <v>228</v>
      </c>
      <c r="D35" s="2" t="s">
        <v>229</v>
      </c>
      <c r="E35" s="2" t="s">
        <v>230</v>
      </c>
      <c r="F35" s="4" t="n">
        <v>1</v>
      </c>
      <c r="G35" s="5" t="n">
        <v>20.8333333333333</v>
      </c>
      <c r="H35" s="6" t="n">
        <f aca="false">F35*G35</f>
        <v>20.8333333333333</v>
      </c>
      <c r="I35" s="12" t="s">
        <v>53</v>
      </c>
      <c r="J35" s="8" t="n">
        <v>0</v>
      </c>
      <c r="K35" s="2" t="s">
        <v>54</v>
      </c>
      <c r="L35" s="8" t="n">
        <v>0</v>
      </c>
      <c r="M35" s="9" t="n">
        <v>0</v>
      </c>
      <c r="N35" s="2" t="str">
        <f aca="false">IF(L35=0,"None",IF(M35&gt;0.6,"High",IF(M35&gt;0.2,"Medium","Low")))</f>
        <v>None</v>
      </c>
      <c r="O35" s="10" t="n">
        <f aca="false">J35+(L35-J35)*M35</f>
        <v>0</v>
      </c>
      <c r="P35" s="2"/>
      <c r="Q35" s="2" t="s">
        <v>303</v>
      </c>
      <c r="R35" s="2" t="s">
        <v>304</v>
      </c>
      <c r="S35" s="2" t="s">
        <v>305</v>
      </c>
      <c r="T35" s="2" t="s">
        <v>40</v>
      </c>
      <c r="U35" s="11" t="s">
        <v>306</v>
      </c>
      <c r="V35" s="2" t="s">
        <v>307</v>
      </c>
      <c r="W35" s="2" t="s">
        <v>308</v>
      </c>
      <c r="X35" s="2" t="s">
        <v>61</v>
      </c>
      <c r="Y35" s="2" t="s">
        <v>45</v>
      </c>
      <c r="Z35" s="2" t="s">
        <v>46</v>
      </c>
      <c r="AA35" s="2" t="s">
        <v>309</v>
      </c>
      <c r="AB35" s="2"/>
      <c r="AC35" s="2" t="s">
        <v>112</v>
      </c>
    </row>
    <row r="36" customFormat="false" ht="22.35" hidden="false" customHeight="false" outlineLevel="0" collapsed="false">
      <c r="A36" s="2" t="s">
        <v>310</v>
      </c>
      <c r="B36" s="13" t="s">
        <v>177</v>
      </c>
      <c r="C36" s="2" t="s">
        <v>228</v>
      </c>
      <c r="D36" s="2" t="s">
        <v>229</v>
      </c>
      <c r="E36" s="2" t="s">
        <v>230</v>
      </c>
      <c r="F36" s="4" t="n">
        <v>1</v>
      </c>
      <c r="G36" s="5" t="n">
        <v>20.8333333333333</v>
      </c>
      <c r="H36" s="6" t="n">
        <f aca="false">F36*G36</f>
        <v>20.8333333333333</v>
      </c>
      <c r="I36" s="12" t="s">
        <v>53</v>
      </c>
      <c r="J36" s="8" t="n">
        <v>0</v>
      </c>
      <c r="K36" s="2" t="s">
        <v>54</v>
      </c>
      <c r="L36" s="8" t="n">
        <v>0</v>
      </c>
      <c r="M36" s="9" t="n">
        <v>0</v>
      </c>
      <c r="N36" s="2" t="str">
        <f aca="false">IF(L36=0,"None",IF(M36&gt;0.6,"High",IF(M36&gt;0.2,"Medium","Low")))</f>
        <v>None</v>
      </c>
      <c r="O36" s="10" t="n">
        <f aca="false">J36+(L36-J36)*M36</f>
        <v>0</v>
      </c>
      <c r="P36" s="2"/>
      <c r="Q36" s="2" t="s">
        <v>303</v>
      </c>
      <c r="R36" s="2" t="s">
        <v>311</v>
      </c>
      <c r="S36" s="2" t="s">
        <v>312</v>
      </c>
      <c r="T36" s="2" t="s">
        <v>128</v>
      </c>
      <c r="U36" s="11" t="s">
        <v>313</v>
      </c>
      <c r="V36" s="2" t="s">
        <v>314</v>
      </c>
      <c r="W36" s="2" t="s">
        <v>60</v>
      </c>
      <c r="X36" s="2" t="s">
        <v>61</v>
      </c>
      <c r="Y36" s="2" t="s">
        <v>131</v>
      </c>
      <c r="Z36" s="2" t="s">
        <v>132</v>
      </c>
      <c r="AA36" s="2"/>
      <c r="AB36" s="2"/>
      <c r="AC36" s="2" t="s">
        <v>112</v>
      </c>
    </row>
    <row r="37" customFormat="false" ht="15" hidden="false" customHeight="false" outlineLevel="0" collapsed="false">
      <c r="A37" s="2" t="s">
        <v>315</v>
      </c>
      <c r="B37" s="13" t="s">
        <v>177</v>
      </c>
      <c r="C37" s="2" t="s">
        <v>316</v>
      </c>
      <c r="D37" s="2" t="s">
        <v>317</v>
      </c>
      <c r="E37" s="2" t="s">
        <v>318</v>
      </c>
      <c r="F37" s="4" t="n">
        <v>2</v>
      </c>
      <c r="G37" s="5" t="n">
        <v>20.8333333333333</v>
      </c>
      <c r="H37" s="6" t="n">
        <f aca="false">F37*G37</f>
        <v>41.6666666666667</v>
      </c>
      <c r="I37" s="12" t="s">
        <v>53</v>
      </c>
      <c r="J37" s="8" t="n">
        <v>0</v>
      </c>
      <c r="K37" s="2" t="s">
        <v>54</v>
      </c>
      <c r="L37" s="8" t="n">
        <v>0</v>
      </c>
      <c r="M37" s="9" t="n">
        <v>0</v>
      </c>
      <c r="N37" s="2" t="str">
        <f aca="false">IF(L37=0,"None",IF(M37&gt;0.6,"High",IF(M37&gt;0.2,"Medium","Low")))</f>
        <v>None</v>
      </c>
      <c r="O37" s="10" t="n">
        <f aca="false">J37+(L37-J37)*M37</f>
        <v>0</v>
      </c>
      <c r="P37" s="2"/>
      <c r="Q37" s="2" t="s">
        <v>145</v>
      </c>
      <c r="R37" s="2" t="s">
        <v>319</v>
      </c>
      <c r="S37" s="2" t="s">
        <v>320</v>
      </c>
      <c r="T37" s="2" t="s">
        <v>40</v>
      </c>
      <c r="U37" s="11" t="s">
        <v>321</v>
      </c>
      <c r="V37" s="2" t="s">
        <v>322</v>
      </c>
      <c r="W37" s="2" t="s">
        <v>60</v>
      </c>
      <c r="X37" s="2" t="s">
        <v>61</v>
      </c>
      <c r="Y37" s="2" t="s">
        <v>45</v>
      </c>
      <c r="Z37" s="2" t="s">
        <v>46</v>
      </c>
      <c r="AA37" s="2"/>
      <c r="AB37" s="2" t="s">
        <v>323</v>
      </c>
      <c r="AC37" s="2" t="s">
        <v>112</v>
      </c>
    </row>
    <row r="38" customFormat="false" ht="64.15" hidden="false" customHeight="false" outlineLevel="0" collapsed="false">
      <c r="A38" s="2" t="s">
        <v>324</v>
      </c>
      <c r="B38" s="13" t="s">
        <v>177</v>
      </c>
      <c r="C38" s="2" t="s">
        <v>325</v>
      </c>
      <c r="D38" s="2" t="s">
        <v>326</v>
      </c>
      <c r="E38" s="2" t="s">
        <v>327</v>
      </c>
      <c r="F38" s="4" t="n">
        <v>9</v>
      </c>
      <c r="G38" s="5" t="n">
        <v>20.75</v>
      </c>
      <c r="H38" s="6" t="n">
        <f aca="false">F38*G38</f>
        <v>186.75</v>
      </c>
      <c r="I38" s="13" t="s">
        <v>125</v>
      </c>
      <c r="J38" s="8" t="n">
        <v>0</v>
      </c>
      <c r="K38" s="2" t="s">
        <v>35</v>
      </c>
      <c r="L38" s="8" t="n">
        <v>0</v>
      </c>
      <c r="M38" s="9" t="n">
        <v>0</v>
      </c>
      <c r="N38" s="2" t="str">
        <f aca="false">IF(L38=0,"None",IF(M38&gt;0.6,"High",IF(M38&gt;0.2,"Medium","Low")))</f>
        <v>None</v>
      </c>
      <c r="O38" s="10" t="n">
        <f aca="false">J38+(L38-J38)*M38</f>
        <v>0</v>
      </c>
      <c r="P38" s="2" t="s">
        <v>328</v>
      </c>
      <c r="Q38" s="2" t="s">
        <v>37</v>
      </c>
      <c r="R38" s="2" t="s">
        <v>329</v>
      </c>
      <c r="S38" s="2" t="s">
        <v>330</v>
      </c>
      <c r="T38" s="2" t="s">
        <v>40</v>
      </c>
      <c r="U38" s="11" t="s">
        <v>331</v>
      </c>
      <c r="V38" s="2" t="s">
        <v>332</v>
      </c>
      <c r="W38" s="2" t="s">
        <v>73</v>
      </c>
      <c r="X38" s="2" t="s">
        <v>333</v>
      </c>
      <c r="Y38" s="2" t="s">
        <v>45</v>
      </c>
      <c r="Z38" s="2" t="s">
        <v>205</v>
      </c>
      <c r="AA38" s="2" t="s">
        <v>334</v>
      </c>
      <c r="AB38" s="2" t="s">
        <v>335</v>
      </c>
      <c r="AC38" s="2" t="s">
        <v>336</v>
      </c>
    </row>
    <row r="39" customFormat="false" ht="32.8" hidden="false" customHeight="false" outlineLevel="0" collapsed="false">
      <c r="A39" s="2" t="s">
        <v>337</v>
      </c>
      <c r="B39" s="13" t="s">
        <v>177</v>
      </c>
      <c r="C39" s="2" t="s">
        <v>325</v>
      </c>
      <c r="D39" s="2" t="s">
        <v>326</v>
      </c>
      <c r="E39" s="2" t="s">
        <v>327</v>
      </c>
      <c r="F39" s="4" t="n">
        <v>1</v>
      </c>
      <c r="G39" s="5" t="n">
        <v>20.75</v>
      </c>
      <c r="H39" s="6" t="n">
        <f aca="false">F39*G39</f>
        <v>20.75</v>
      </c>
      <c r="I39" s="7" t="s">
        <v>34</v>
      </c>
      <c r="J39" s="8" t="n">
        <v>0</v>
      </c>
      <c r="K39" s="2" t="s">
        <v>54</v>
      </c>
      <c r="L39" s="8" t="n">
        <v>0</v>
      </c>
      <c r="M39" s="9" t="n">
        <v>0</v>
      </c>
      <c r="N39" s="2" t="str">
        <f aca="false">IF(L39=0,"None",IF(M39&gt;0.6,"High",IF(M39&gt;0.2,"Medium","Low")))</f>
        <v>None</v>
      </c>
      <c r="O39" s="10" t="n">
        <f aca="false">J39+(L39-J39)*M39</f>
        <v>0</v>
      </c>
      <c r="P39" s="2"/>
      <c r="Q39" s="2" t="s">
        <v>187</v>
      </c>
      <c r="R39" s="2" t="s">
        <v>338</v>
      </c>
      <c r="S39" s="2" t="s">
        <v>339</v>
      </c>
      <c r="T39" s="2" t="s">
        <v>340</v>
      </c>
      <c r="U39" s="11" t="s">
        <v>341</v>
      </c>
      <c r="V39" s="2" t="s">
        <v>342</v>
      </c>
      <c r="W39" s="2" t="s">
        <v>60</v>
      </c>
      <c r="X39" s="2" t="s">
        <v>61</v>
      </c>
      <c r="Y39" s="2" t="s">
        <v>343</v>
      </c>
      <c r="Z39" s="2" t="s">
        <v>46</v>
      </c>
      <c r="AA39" s="2" t="s">
        <v>344</v>
      </c>
      <c r="AB39" s="2" t="s">
        <v>345</v>
      </c>
      <c r="AC39" s="2" t="s">
        <v>336</v>
      </c>
    </row>
    <row r="40" customFormat="false" ht="22.35" hidden="false" customHeight="false" outlineLevel="0" collapsed="false">
      <c r="A40" s="2" t="s">
        <v>346</v>
      </c>
      <c r="B40" s="13" t="s">
        <v>177</v>
      </c>
      <c r="C40" s="2" t="s">
        <v>325</v>
      </c>
      <c r="D40" s="2" t="s">
        <v>326</v>
      </c>
      <c r="E40" s="2" t="s">
        <v>327</v>
      </c>
      <c r="F40" s="4" t="n">
        <v>2</v>
      </c>
      <c r="G40" s="5" t="n">
        <v>20.75</v>
      </c>
      <c r="H40" s="6" t="n">
        <f aca="false">F40*G40</f>
        <v>41.5</v>
      </c>
      <c r="I40" s="12" t="s">
        <v>53</v>
      </c>
      <c r="J40" s="8" t="n">
        <v>0</v>
      </c>
      <c r="K40" s="2" t="s">
        <v>54</v>
      </c>
      <c r="L40" s="8" t="n">
        <v>0</v>
      </c>
      <c r="M40" s="9" t="n">
        <v>0</v>
      </c>
      <c r="N40" s="2" t="str">
        <f aca="false">IF(L40=0,"None",IF(M40&gt;0.6,"High",IF(M40&gt;0.2,"Medium","Low")))</f>
        <v>None</v>
      </c>
      <c r="O40" s="10" t="n">
        <f aca="false">J40+(L40-J40)*M40</f>
        <v>0</v>
      </c>
      <c r="P40" s="2"/>
      <c r="Q40" s="2" t="s">
        <v>347</v>
      </c>
      <c r="R40" s="2" t="s">
        <v>348</v>
      </c>
      <c r="S40" s="2" t="s">
        <v>349</v>
      </c>
      <c r="T40" s="2" t="s">
        <v>40</v>
      </c>
      <c r="U40" s="11" t="s">
        <v>350</v>
      </c>
      <c r="V40" s="2" t="s">
        <v>351</v>
      </c>
      <c r="W40" s="2" t="s">
        <v>352</v>
      </c>
      <c r="X40" s="2" t="s">
        <v>353</v>
      </c>
      <c r="Y40" s="2" t="s">
        <v>45</v>
      </c>
      <c r="Z40" s="2" t="s">
        <v>132</v>
      </c>
      <c r="AA40" s="2" t="s">
        <v>354</v>
      </c>
      <c r="AB40" s="2" t="s">
        <v>355</v>
      </c>
      <c r="AC40" s="2" t="s">
        <v>49</v>
      </c>
    </row>
    <row r="41" customFormat="false" ht="32.8" hidden="false" customHeight="false" outlineLevel="0" collapsed="false">
      <c r="A41" s="2" t="s">
        <v>356</v>
      </c>
      <c r="B41" s="13" t="s">
        <v>177</v>
      </c>
      <c r="C41" s="2" t="s">
        <v>325</v>
      </c>
      <c r="D41" s="2" t="s">
        <v>326</v>
      </c>
      <c r="E41" s="2" t="s">
        <v>327</v>
      </c>
      <c r="F41" s="4" t="n">
        <v>1</v>
      </c>
      <c r="G41" s="5" t="n">
        <v>20.75</v>
      </c>
      <c r="H41" s="6" t="n">
        <f aca="false">F41*G41</f>
        <v>20.75</v>
      </c>
      <c r="I41" s="7" t="s">
        <v>34</v>
      </c>
      <c r="J41" s="8" t="n">
        <v>0</v>
      </c>
      <c r="K41" s="2" t="s">
        <v>54</v>
      </c>
      <c r="L41" s="8" t="n">
        <v>0</v>
      </c>
      <c r="M41" s="9" t="n">
        <v>0</v>
      </c>
      <c r="N41" s="2" t="str">
        <f aca="false">IF(L41=0,"None",IF(M41&gt;0.6,"High",IF(M41&gt;0.2,"Medium","Low")))</f>
        <v>None</v>
      </c>
      <c r="O41" s="10" t="n">
        <f aca="false">J41+(L41-J41)*M41</f>
        <v>0</v>
      </c>
      <c r="P41" s="2"/>
      <c r="Q41" s="2" t="s">
        <v>357</v>
      </c>
      <c r="R41" s="2" t="s">
        <v>358</v>
      </c>
      <c r="S41" s="2" t="s">
        <v>359</v>
      </c>
      <c r="T41" s="2" t="s">
        <v>128</v>
      </c>
      <c r="U41" s="11" t="s">
        <v>360</v>
      </c>
      <c r="V41" s="2" t="s">
        <v>361</v>
      </c>
      <c r="W41" s="2" t="s">
        <v>60</v>
      </c>
      <c r="X41" s="2" t="s">
        <v>61</v>
      </c>
      <c r="Y41" s="2" t="s">
        <v>362</v>
      </c>
      <c r="Z41" s="2" t="s">
        <v>46</v>
      </c>
      <c r="AA41" s="2" t="s">
        <v>363</v>
      </c>
      <c r="AB41" s="2" t="s">
        <v>364</v>
      </c>
      <c r="AC41" s="2" t="s">
        <v>112</v>
      </c>
    </row>
    <row r="42" customFormat="false" ht="53.7" hidden="false" customHeight="false" outlineLevel="0" collapsed="false">
      <c r="A42" s="2" t="s">
        <v>365</v>
      </c>
      <c r="B42" s="13" t="s">
        <v>177</v>
      </c>
      <c r="C42" s="2" t="s">
        <v>325</v>
      </c>
      <c r="D42" s="2" t="s">
        <v>326</v>
      </c>
      <c r="E42" s="2" t="s">
        <v>327</v>
      </c>
      <c r="F42" s="4" t="n">
        <v>2</v>
      </c>
      <c r="G42" s="5" t="n">
        <v>20.75</v>
      </c>
      <c r="H42" s="6" t="n">
        <f aca="false">F42*G42</f>
        <v>41.5</v>
      </c>
      <c r="I42" s="12" t="s">
        <v>53</v>
      </c>
      <c r="J42" s="8" t="n">
        <v>0</v>
      </c>
      <c r="K42" s="2" t="s">
        <v>54</v>
      </c>
      <c r="L42" s="8" t="n">
        <v>0</v>
      </c>
      <c r="M42" s="9" t="n">
        <v>0</v>
      </c>
      <c r="N42" s="2" t="str">
        <f aca="false">IF(L42=0,"None",IF(M42&gt;0.6,"High",IF(M42&gt;0.2,"Medium","Low")))</f>
        <v>None</v>
      </c>
      <c r="O42" s="10" t="n">
        <f aca="false">J42+(L42-J42)*M42</f>
        <v>0</v>
      </c>
      <c r="P42" s="2"/>
      <c r="Q42" s="2" t="s">
        <v>366</v>
      </c>
      <c r="R42" s="2" t="s">
        <v>367</v>
      </c>
      <c r="S42" s="2" t="s">
        <v>368</v>
      </c>
      <c r="T42" s="2" t="s">
        <v>40</v>
      </c>
      <c r="U42" s="11" t="s">
        <v>369</v>
      </c>
      <c r="V42" s="2" t="s">
        <v>370</v>
      </c>
      <c r="W42" s="2" t="s">
        <v>43</v>
      </c>
      <c r="X42" s="2" t="s">
        <v>371</v>
      </c>
      <c r="Y42" s="2" t="s">
        <v>45</v>
      </c>
      <c r="Z42" s="2" t="s">
        <v>132</v>
      </c>
      <c r="AA42" s="2" t="s">
        <v>372</v>
      </c>
      <c r="AB42" s="2" t="s">
        <v>373</v>
      </c>
      <c r="AC42" s="2" t="s">
        <v>49</v>
      </c>
    </row>
    <row r="43" customFormat="false" ht="32.8" hidden="false" customHeight="false" outlineLevel="0" collapsed="false">
      <c r="A43" s="2" t="s">
        <v>374</v>
      </c>
      <c r="B43" s="13" t="s">
        <v>177</v>
      </c>
      <c r="C43" s="2" t="s">
        <v>375</v>
      </c>
      <c r="D43" s="2" t="s">
        <v>376</v>
      </c>
      <c r="E43" s="2" t="s">
        <v>377</v>
      </c>
      <c r="F43" s="4" t="n">
        <v>1</v>
      </c>
      <c r="G43" s="5" t="n">
        <v>20.8333333333333</v>
      </c>
      <c r="H43" s="6" t="n">
        <f aca="false">F43*G43</f>
        <v>20.8333333333333</v>
      </c>
      <c r="I43" s="7" t="s">
        <v>34</v>
      </c>
      <c r="J43" s="8" t="n">
        <v>0</v>
      </c>
      <c r="K43" s="2" t="s">
        <v>54</v>
      </c>
      <c r="L43" s="8" t="n">
        <v>0</v>
      </c>
      <c r="M43" s="9" t="n">
        <v>0</v>
      </c>
      <c r="N43" s="2" t="str">
        <f aca="false">IF(L43=0,"None",IF(M43&gt;0.6,"High",IF(M43&gt;0.2,"Medium","Low")))</f>
        <v>None</v>
      </c>
      <c r="O43" s="10" t="n">
        <f aca="false">J43+(L43-J43)*M43</f>
        <v>0</v>
      </c>
      <c r="P43" s="2"/>
      <c r="Q43" s="2" t="s">
        <v>171</v>
      </c>
      <c r="R43" s="2" t="s">
        <v>378</v>
      </c>
      <c r="S43" s="2" t="s">
        <v>379</v>
      </c>
      <c r="T43" s="2" t="s">
        <v>380</v>
      </c>
      <c r="U43" s="11" t="s">
        <v>381</v>
      </c>
      <c r="V43" s="2" t="s">
        <v>382</v>
      </c>
      <c r="W43" s="2" t="s">
        <v>60</v>
      </c>
      <c r="X43" s="2" t="s">
        <v>61</v>
      </c>
      <c r="Y43" s="2" t="s">
        <v>45</v>
      </c>
      <c r="Z43" s="2" t="s">
        <v>46</v>
      </c>
      <c r="AA43" s="2" t="s">
        <v>383</v>
      </c>
      <c r="AB43" s="2"/>
      <c r="AC43" s="2" t="s">
        <v>112</v>
      </c>
    </row>
    <row r="44" customFormat="false" ht="32.8" hidden="false" customHeight="false" outlineLevel="0" collapsed="false">
      <c r="A44" s="2" t="s">
        <v>384</v>
      </c>
      <c r="B44" s="13" t="s">
        <v>177</v>
      </c>
      <c r="C44" s="2" t="s">
        <v>375</v>
      </c>
      <c r="D44" s="2" t="s">
        <v>376</v>
      </c>
      <c r="E44" s="2" t="s">
        <v>377</v>
      </c>
      <c r="F44" s="4" t="n">
        <v>1</v>
      </c>
      <c r="G44" s="5" t="n">
        <v>20.8333333333333</v>
      </c>
      <c r="H44" s="6" t="n">
        <f aca="false">F44*G44</f>
        <v>20.8333333333333</v>
      </c>
      <c r="I44" s="12" t="s">
        <v>53</v>
      </c>
      <c r="J44" s="8" t="n">
        <v>0</v>
      </c>
      <c r="K44" s="2" t="s">
        <v>54</v>
      </c>
      <c r="L44" s="8" t="n">
        <v>0</v>
      </c>
      <c r="M44" s="9" t="n">
        <v>0</v>
      </c>
      <c r="N44" s="2" t="str">
        <f aca="false">IF(L44=0,"None",IF(M44&gt;0.6,"High",IF(M44&gt;0.2,"Medium","Low")))</f>
        <v>None</v>
      </c>
      <c r="O44" s="10" t="n">
        <f aca="false">J44+(L44-J44)*M44</f>
        <v>0</v>
      </c>
      <c r="P44" s="2"/>
      <c r="Q44" s="2" t="s">
        <v>171</v>
      </c>
      <c r="R44" s="2" t="s">
        <v>385</v>
      </c>
      <c r="S44" s="2" t="s">
        <v>386</v>
      </c>
      <c r="T44" s="2" t="s">
        <v>40</v>
      </c>
      <c r="U44" s="11" t="s">
        <v>387</v>
      </c>
      <c r="V44" s="2" t="s">
        <v>388</v>
      </c>
      <c r="W44" s="2" t="s">
        <v>389</v>
      </c>
      <c r="X44" s="2" t="s">
        <v>390</v>
      </c>
      <c r="Y44" s="2" t="s">
        <v>45</v>
      </c>
      <c r="Z44" s="2" t="s">
        <v>46</v>
      </c>
      <c r="AA44" s="2" t="s">
        <v>391</v>
      </c>
      <c r="AB44" s="2" t="s">
        <v>392</v>
      </c>
      <c r="AC44" s="2" t="s">
        <v>112</v>
      </c>
    </row>
    <row r="45" customFormat="false" ht="43.25" hidden="false" customHeight="false" outlineLevel="0" collapsed="false">
      <c r="A45" s="2" t="s">
        <v>393</v>
      </c>
      <c r="B45" s="13" t="s">
        <v>177</v>
      </c>
      <c r="C45" s="2" t="s">
        <v>375</v>
      </c>
      <c r="D45" s="2" t="s">
        <v>376</v>
      </c>
      <c r="E45" s="2" t="s">
        <v>377</v>
      </c>
      <c r="F45" s="4" t="n">
        <v>1</v>
      </c>
      <c r="G45" s="5" t="n">
        <v>20.8333333333333</v>
      </c>
      <c r="H45" s="6" t="n">
        <f aca="false">F45*G45</f>
        <v>20.8333333333333</v>
      </c>
      <c r="I45" s="13" t="s">
        <v>125</v>
      </c>
      <c r="J45" s="8" t="n">
        <v>0</v>
      </c>
      <c r="K45" s="2" t="s">
        <v>54</v>
      </c>
      <c r="L45" s="8" t="n">
        <v>0</v>
      </c>
      <c r="M45" s="9" t="n">
        <v>0</v>
      </c>
      <c r="N45" s="2" t="str">
        <f aca="false">IF(L45=0,"None",IF(M45&gt;0.6,"High",IF(M45&gt;0.2,"Medium","Low")))</f>
        <v>None</v>
      </c>
      <c r="O45" s="10" t="n">
        <f aca="false">J45+(L45-J45)*M45</f>
        <v>0</v>
      </c>
      <c r="P45" s="2"/>
      <c r="Q45" s="2" t="s">
        <v>171</v>
      </c>
      <c r="R45" s="2" t="s">
        <v>394</v>
      </c>
      <c r="S45" s="2" t="s">
        <v>395</v>
      </c>
      <c r="T45" s="2" t="s">
        <v>40</v>
      </c>
      <c r="U45" s="11" t="s">
        <v>396</v>
      </c>
      <c r="V45" s="2" t="s">
        <v>397</v>
      </c>
      <c r="W45" s="2" t="s">
        <v>73</v>
      </c>
      <c r="X45" s="2" t="s">
        <v>61</v>
      </c>
      <c r="Y45" s="2" t="s">
        <v>45</v>
      </c>
      <c r="Z45" s="2" t="s">
        <v>132</v>
      </c>
      <c r="AA45" s="2" t="s">
        <v>398</v>
      </c>
      <c r="AB45" s="2"/>
      <c r="AC45" s="2" t="s">
        <v>112</v>
      </c>
    </row>
    <row r="46" customFormat="false" ht="22.35" hidden="false" customHeight="false" outlineLevel="0" collapsed="false">
      <c r="A46" s="2" t="s">
        <v>399</v>
      </c>
      <c r="B46" s="13" t="s">
        <v>177</v>
      </c>
      <c r="C46" s="2" t="s">
        <v>375</v>
      </c>
      <c r="D46" s="2" t="s">
        <v>376</v>
      </c>
      <c r="E46" s="2" t="s">
        <v>377</v>
      </c>
      <c r="F46" s="4" t="n">
        <v>1</v>
      </c>
      <c r="G46" s="5" t="n">
        <v>20.8333333333333</v>
      </c>
      <c r="H46" s="6" t="n">
        <f aca="false">F46*G46</f>
        <v>20.8333333333333</v>
      </c>
      <c r="I46" s="7" t="s">
        <v>34</v>
      </c>
      <c r="J46" s="8" t="n">
        <v>0</v>
      </c>
      <c r="K46" s="2" t="s">
        <v>54</v>
      </c>
      <c r="L46" s="8" t="n">
        <v>0</v>
      </c>
      <c r="M46" s="9" t="n">
        <v>0</v>
      </c>
      <c r="N46" s="2" t="str">
        <f aca="false">IF(L46=0,"None",IF(M46&gt;0.6,"High",IF(M46&gt;0.2,"Medium","Low")))</f>
        <v>None</v>
      </c>
      <c r="O46" s="10" t="n">
        <f aca="false">J46+(L46-J46)*M46</f>
        <v>0</v>
      </c>
      <c r="P46" s="2"/>
      <c r="Q46" s="2" t="s">
        <v>171</v>
      </c>
      <c r="R46" s="2" t="s">
        <v>400</v>
      </c>
      <c r="S46" s="2" t="s">
        <v>401</v>
      </c>
      <c r="T46" s="2" t="s">
        <v>402</v>
      </c>
      <c r="U46" s="11" t="s">
        <v>403</v>
      </c>
      <c r="V46" s="2" t="s">
        <v>404</v>
      </c>
      <c r="W46" s="2" t="s">
        <v>60</v>
      </c>
      <c r="X46" s="2" t="s">
        <v>61</v>
      </c>
      <c r="Y46" s="2" t="s">
        <v>405</v>
      </c>
      <c r="Z46" s="2" t="s">
        <v>46</v>
      </c>
      <c r="AA46" s="2"/>
      <c r="AB46" s="2" t="s">
        <v>406</v>
      </c>
      <c r="AC46" s="2" t="s">
        <v>112</v>
      </c>
    </row>
    <row r="47" customFormat="false" ht="22.35" hidden="false" customHeight="false" outlineLevel="0" collapsed="false">
      <c r="A47" s="2" t="s">
        <v>407</v>
      </c>
      <c r="B47" s="14" t="s">
        <v>408</v>
      </c>
      <c r="C47" s="2" t="s">
        <v>409</v>
      </c>
      <c r="D47" s="2" t="s">
        <v>410</v>
      </c>
      <c r="E47" s="2" t="s">
        <v>411</v>
      </c>
      <c r="F47" s="4" t="n">
        <v>1</v>
      </c>
      <c r="G47" s="5" t="n">
        <v>4.33</v>
      </c>
      <c r="H47" s="6" t="n">
        <f aca="false">F47*G47</f>
        <v>4.33</v>
      </c>
      <c r="I47" s="12" t="s">
        <v>53</v>
      </c>
      <c r="J47" s="8" t="n">
        <v>0</v>
      </c>
      <c r="K47" s="2" t="s">
        <v>54</v>
      </c>
      <c r="L47" s="8" t="n">
        <v>0</v>
      </c>
      <c r="M47" s="9" t="n">
        <v>0</v>
      </c>
      <c r="N47" s="2" t="str">
        <f aca="false">IF(L47=0,"None",IF(M47&gt;0.6,"High",IF(M47&gt;0.2,"Medium","Low")))</f>
        <v>None</v>
      </c>
      <c r="O47" s="10" t="n">
        <f aca="false">J47+(L47-J47)*M47</f>
        <v>0</v>
      </c>
      <c r="P47" s="2"/>
      <c r="Q47" s="2" t="s">
        <v>153</v>
      </c>
      <c r="R47" s="2" t="s">
        <v>412</v>
      </c>
      <c r="S47" s="2" t="s">
        <v>413</v>
      </c>
      <c r="T47" s="2" t="s">
        <v>40</v>
      </c>
      <c r="U47" s="11" t="s">
        <v>414</v>
      </c>
      <c r="V47" s="2" t="s">
        <v>415</v>
      </c>
      <c r="W47" s="2" t="s">
        <v>60</v>
      </c>
      <c r="X47" s="2" t="s">
        <v>61</v>
      </c>
      <c r="Y47" s="2" t="s">
        <v>45</v>
      </c>
      <c r="Z47" s="2" t="s">
        <v>46</v>
      </c>
      <c r="AA47" s="2" t="s">
        <v>416</v>
      </c>
      <c r="AB47" s="2"/>
      <c r="AC47" s="2" t="s">
        <v>112</v>
      </c>
    </row>
    <row r="48" customFormat="false" ht="43.25" hidden="false" customHeight="false" outlineLevel="0" collapsed="false">
      <c r="A48" s="2" t="s">
        <v>417</v>
      </c>
      <c r="B48" s="14" t="s">
        <v>408</v>
      </c>
      <c r="C48" s="2" t="s">
        <v>409</v>
      </c>
      <c r="D48" s="2" t="s">
        <v>410</v>
      </c>
      <c r="E48" s="2" t="s">
        <v>411</v>
      </c>
      <c r="F48" s="4" t="n">
        <v>1</v>
      </c>
      <c r="G48" s="5" t="n">
        <v>4.33</v>
      </c>
      <c r="H48" s="6" t="n">
        <f aca="false">F48*G48</f>
        <v>4.33</v>
      </c>
      <c r="I48" s="13" t="s">
        <v>125</v>
      </c>
      <c r="J48" s="8" t="n">
        <v>0</v>
      </c>
      <c r="K48" s="2" t="s">
        <v>35</v>
      </c>
      <c r="L48" s="8" t="n">
        <v>0</v>
      </c>
      <c r="M48" s="9" t="n">
        <v>0</v>
      </c>
      <c r="N48" s="2" t="str">
        <f aca="false">IF(L48=0,"None",IF(M48&gt;0.6,"High",IF(M48&gt;0.2,"Medium","Low")))</f>
        <v>None</v>
      </c>
      <c r="O48" s="10" t="n">
        <f aca="false">J48+(L48-J48)*M48</f>
        <v>0</v>
      </c>
      <c r="P48" s="2" t="s">
        <v>418</v>
      </c>
      <c r="Q48" s="2" t="s">
        <v>55</v>
      </c>
      <c r="R48" s="2" t="s">
        <v>419</v>
      </c>
      <c r="S48" s="2" t="s">
        <v>420</v>
      </c>
      <c r="T48" s="2" t="s">
        <v>421</v>
      </c>
      <c r="U48" s="11" t="s">
        <v>422</v>
      </c>
      <c r="V48" s="2" t="s">
        <v>423</v>
      </c>
      <c r="W48" s="2" t="s">
        <v>424</v>
      </c>
      <c r="X48" s="2" t="s">
        <v>425</v>
      </c>
      <c r="Y48" s="2" t="s">
        <v>45</v>
      </c>
      <c r="Z48" s="2" t="s">
        <v>132</v>
      </c>
      <c r="AA48" s="2" t="s">
        <v>426</v>
      </c>
      <c r="AB48" s="2"/>
      <c r="AC48" s="2" t="s">
        <v>112</v>
      </c>
    </row>
    <row r="49" customFormat="false" ht="15" hidden="false" customHeight="false" outlineLevel="0" collapsed="false">
      <c r="A49" s="2" t="s">
        <v>427</v>
      </c>
      <c r="B49" s="14" t="s">
        <v>408</v>
      </c>
      <c r="C49" s="2" t="s">
        <v>409</v>
      </c>
      <c r="D49" s="2" t="s">
        <v>410</v>
      </c>
      <c r="E49" s="2" t="s">
        <v>411</v>
      </c>
      <c r="F49" s="4" t="n">
        <v>1</v>
      </c>
      <c r="G49" s="5" t="n">
        <v>4.33</v>
      </c>
      <c r="H49" s="6" t="n">
        <f aca="false">F49*G49</f>
        <v>4.33</v>
      </c>
      <c r="I49" s="12" t="s">
        <v>53</v>
      </c>
      <c r="J49" s="8" t="n">
        <v>0</v>
      </c>
      <c r="K49" s="2" t="s">
        <v>54</v>
      </c>
      <c r="L49" s="8" t="n">
        <v>0</v>
      </c>
      <c r="M49" s="9" t="n">
        <v>0</v>
      </c>
      <c r="N49" s="2" t="str">
        <f aca="false">IF(L49=0,"None",IF(M49&gt;0.6,"High",IF(M49&gt;0.2,"Medium","Low")))</f>
        <v>None</v>
      </c>
      <c r="O49" s="10" t="n">
        <f aca="false">J49+(L49-J49)*M49</f>
        <v>0</v>
      </c>
      <c r="P49" s="2"/>
      <c r="Q49" s="2" t="s">
        <v>55</v>
      </c>
      <c r="R49" s="2" t="s">
        <v>428</v>
      </c>
      <c r="S49" s="2" t="s">
        <v>429</v>
      </c>
      <c r="T49" s="2" t="s">
        <v>430</v>
      </c>
      <c r="U49" s="11" t="s">
        <v>431</v>
      </c>
      <c r="V49" s="2" t="s">
        <v>432</v>
      </c>
      <c r="W49" s="2" t="s">
        <v>60</v>
      </c>
      <c r="X49" s="2" t="s">
        <v>61</v>
      </c>
      <c r="Y49" s="2" t="s">
        <v>433</v>
      </c>
      <c r="Z49" s="2" t="s">
        <v>46</v>
      </c>
      <c r="AA49" s="2" t="s">
        <v>434</v>
      </c>
      <c r="AB49" s="2"/>
      <c r="AC49" s="2" t="s">
        <v>112</v>
      </c>
    </row>
    <row r="50" customFormat="false" ht="22.35" hidden="false" customHeight="false" outlineLevel="0" collapsed="false">
      <c r="A50" s="2" t="s">
        <v>435</v>
      </c>
      <c r="B50" s="14" t="s">
        <v>408</v>
      </c>
      <c r="C50" s="2" t="s">
        <v>409</v>
      </c>
      <c r="D50" s="2" t="s">
        <v>410</v>
      </c>
      <c r="E50" s="2" t="s">
        <v>411</v>
      </c>
      <c r="F50" s="4" t="n">
        <v>1</v>
      </c>
      <c r="G50" s="5" t="n">
        <v>4.33</v>
      </c>
      <c r="H50" s="6" t="n">
        <f aca="false">F50*G50</f>
        <v>4.33</v>
      </c>
      <c r="I50" s="7" t="s">
        <v>34</v>
      </c>
      <c r="J50" s="8" t="n">
        <v>0</v>
      </c>
      <c r="K50" s="2" t="s">
        <v>54</v>
      </c>
      <c r="L50" s="8" t="n">
        <v>0</v>
      </c>
      <c r="M50" s="9" t="n">
        <v>0</v>
      </c>
      <c r="N50" s="2" t="str">
        <f aca="false">IF(L50=0,"None",IF(M50&gt;0.6,"High",IF(M50&gt;0.2,"Medium","Low")))</f>
        <v>None</v>
      </c>
      <c r="O50" s="10" t="n">
        <f aca="false">J50+(L50-J50)*M50</f>
        <v>0</v>
      </c>
      <c r="P50" s="2"/>
      <c r="Q50" s="2" t="s">
        <v>436</v>
      </c>
      <c r="R50" s="2" t="s">
        <v>437</v>
      </c>
      <c r="S50" s="2" t="s">
        <v>438</v>
      </c>
      <c r="T50" s="2" t="s">
        <v>128</v>
      </c>
      <c r="U50" s="11" t="s">
        <v>439</v>
      </c>
      <c r="V50" s="2" t="s">
        <v>440</v>
      </c>
      <c r="W50" s="2" t="s">
        <v>60</v>
      </c>
      <c r="X50" s="2" t="s">
        <v>61</v>
      </c>
      <c r="Y50" s="2" t="s">
        <v>131</v>
      </c>
      <c r="Z50" s="2" t="s">
        <v>46</v>
      </c>
      <c r="AA50" s="2" t="s">
        <v>441</v>
      </c>
      <c r="AB50" s="2"/>
      <c r="AC50" s="2" t="s">
        <v>112</v>
      </c>
    </row>
    <row r="51" customFormat="false" ht="22.35" hidden="false" customHeight="false" outlineLevel="0" collapsed="false">
      <c r="A51" s="2" t="s">
        <v>442</v>
      </c>
      <c r="B51" s="14" t="s">
        <v>408</v>
      </c>
      <c r="C51" s="2" t="s">
        <v>409</v>
      </c>
      <c r="D51" s="2" t="s">
        <v>410</v>
      </c>
      <c r="E51" s="2" t="s">
        <v>411</v>
      </c>
      <c r="F51" s="4" t="n">
        <v>1</v>
      </c>
      <c r="G51" s="5" t="n">
        <v>4.33</v>
      </c>
      <c r="H51" s="6" t="n">
        <f aca="false">F51*G51</f>
        <v>4.33</v>
      </c>
      <c r="I51" s="12" t="s">
        <v>53</v>
      </c>
      <c r="J51" s="8" t="n">
        <v>0</v>
      </c>
      <c r="K51" s="2" t="s">
        <v>54</v>
      </c>
      <c r="L51" s="8" t="n">
        <v>0</v>
      </c>
      <c r="M51" s="9" t="n">
        <v>0</v>
      </c>
      <c r="N51" s="2" t="str">
        <f aca="false">IF(L51=0,"None",IF(M51&gt;0.6,"High",IF(M51&gt;0.2,"Medium","Low")))</f>
        <v>None</v>
      </c>
      <c r="O51" s="10" t="n">
        <f aca="false">J51+(L51-J51)*M51</f>
        <v>0</v>
      </c>
      <c r="P51" s="2"/>
      <c r="Q51" s="2" t="s">
        <v>436</v>
      </c>
      <c r="R51" s="2" t="s">
        <v>443</v>
      </c>
      <c r="S51" s="2" t="s">
        <v>438</v>
      </c>
      <c r="T51" s="2" t="s">
        <v>444</v>
      </c>
      <c r="U51" s="11" t="s">
        <v>445</v>
      </c>
      <c r="V51" s="2" t="s">
        <v>446</v>
      </c>
      <c r="W51" s="2" t="s">
        <v>60</v>
      </c>
      <c r="X51" s="2" t="s">
        <v>61</v>
      </c>
      <c r="Y51" s="2" t="s">
        <v>447</v>
      </c>
      <c r="Z51" s="2" t="s">
        <v>46</v>
      </c>
      <c r="AA51" s="2"/>
      <c r="AB51" s="2"/>
      <c r="AC51" s="2" t="s">
        <v>112</v>
      </c>
    </row>
    <row r="52" customFormat="false" ht="32.8" hidden="false" customHeight="false" outlineLevel="0" collapsed="false">
      <c r="A52" s="2" t="s">
        <v>448</v>
      </c>
      <c r="B52" s="14" t="s">
        <v>408</v>
      </c>
      <c r="C52" s="2" t="s">
        <v>409</v>
      </c>
      <c r="D52" s="2" t="s">
        <v>410</v>
      </c>
      <c r="E52" s="2" t="s">
        <v>411</v>
      </c>
      <c r="F52" s="4" t="n">
        <v>1</v>
      </c>
      <c r="G52" s="5" t="n">
        <v>4.33</v>
      </c>
      <c r="H52" s="6" t="n">
        <f aca="false">F52*G52</f>
        <v>4.33</v>
      </c>
      <c r="I52" s="7" t="s">
        <v>34</v>
      </c>
      <c r="J52" s="8" t="n">
        <v>0</v>
      </c>
      <c r="K52" s="2" t="s">
        <v>54</v>
      </c>
      <c r="L52" s="8" t="n">
        <v>0</v>
      </c>
      <c r="M52" s="9" t="n">
        <v>0</v>
      </c>
      <c r="N52" s="2" t="str">
        <f aca="false">IF(L52=0,"None",IF(M52&gt;0.6,"High",IF(M52&gt;0.2,"Medium","Low")))</f>
        <v>None</v>
      </c>
      <c r="O52" s="10" t="n">
        <f aca="false">J52+(L52-J52)*M52</f>
        <v>0</v>
      </c>
      <c r="P52" s="2"/>
      <c r="Q52" s="2" t="s">
        <v>449</v>
      </c>
      <c r="R52" s="2" t="s">
        <v>450</v>
      </c>
      <c r="S52" s="2" t="s">
        <v>451</v>
      </c>
      <c r="T52" s="2" t="s">
        <v>128</v>
      </c>
      <c r="U52" s="11" t="s">
        <v>452</v>
      </c>
      <c r="V52" s="2" t="s">
        <v>453</v>
      </c>
      <c r="W52" s="2" t="s">
        <v>60</v>
      </c>
      <c r="X52" s="2" t="s">
        <v>61</v>
      </c>
      <c r="Y52" s="2" t="s">
        <v>131</v>
      </c>
      <c r="Z52" s="2" t="s">
        <v>46</v>
      </c>
      <c r="AA52" s="2" t="s">
        <v>454</v>
      </c>
      <c r="AB52" s="2"/>
      <c r="AC52" s="2" t="s">
        <v>112</v>
      </c>
    </row>
    <row r="53" customFormat="false" ht="32.8" hidden="false" customHeight="false" outlineLevel="0" collapsed="false">
      <c r="A53" s="2" t="s">
        <v>455</v>
      </c>
      <c r="B53" s="14" t="s">
        <v>408</v>
      </c>
      <c r="C53" s="2" t="s">
        <v>409</v>
      </c>
      <c r="D53" s="2" t="s">
        <v>410</v>
      </c>
      <c r="E53" s="2" t="s">
        <v>411</v>
      </c>
      <c r="F53" s="4" t="n">
        <v>1</v>
      </c>
      <c r="G53" s="5" t="n">
        <v>4.33</v>
      </c>
      <c r="H53" s="6" t="n">
        <f aca="false">F53*G53</f>
        <v>4.33</v>
      </c>
      <c r="I53" s="7" t="s">
        <v>34</v>
      </c>
      <c r="J53" s="8" t="n">
        <v>0</v>
      </c>
      <c r="K53" s="2" t="s">
        <v>54</v>
      </c>
      <c r="L53" s="8" t="n">
        <v>0</v>
      </c>
      <c r="M53" s="9" t="n">
        <v>0</v>
      </c>
      <c r="N53" s="2" t="str">
        <f aca="false">IF(L53=0,"None",IF(M53&gt;0.6,"High",IF(M53&gt;0.2,"Medium","Low")))</f>
        <v>None</v>
      </c>
      <c r="O53" s="10" t="n">
        <f aca="false">J53+(L53-J53)*M53</f>
        <v>0</v>
      </c>
      <c r="P53" s="2"/>
      <c r="Q53" s="2" t="s">
        <v>456</v>
      </c>
      <c r="R53" s="2" t="s">
        <v>457</v>
      </c>
      <c r="S53" s="2" t="s">
        <v>458</v>
      </c>
      <c r="T53" s="2" t="s">
        <v>128</v>
      </c>
      <c r="U53" s="11" t="s">
        <v>459</v>
      </c>
      <c r="V53" s="2" t="s">
        <v>460</v>
      </c>
      <c r="W53" s="2" t="s">
        <v>60</v>
      </c>
      <c r="X53" s="2" t="s">
        <v>61</v>
      </c>
      <c r="Y53" s="2" t="s">
        <v>131</v>
      </c>
      <c r="Z53" s="2" t="s">
        <v>46</v>
      </c>
      <c r="AA53" s="2" t="s">
        <v>461</v>
      </c>
      <c r="AB53" s="2"/>
      <c r="AC53" s="2" t="s">
        <v>112</v>
      </c>
    </row>
    <row r="54" customFormat="false" ht="22.35" hidden="false" customHeight="false" outlineLevel="0" collapsed="false">
      <c r="A54" s="2" t="s">
        <v>462</v>
      </c>
      <c r="B54" s="14" t="s">
        <v>408</v>
      </c>
      <c r="C54" s="2" t="s">
        <v>409</v>
      </c>
      <c r="D54" s="2" t="s">
        <v>410</v>
      </c>
      <c r="E54" s="2" t="s">
        <v>411</v>
      </c>
      <c r="F54" s="4" t="n">
        <v>1</v>
      </c>
      <c r="G54" s="5" t="n">
        <v>4.33</v>
      </c>
      <c r="H54" s="6" t="n">
        <f aca="false">F54*G54</f>
        <v>4.33</v>
      </c>
      <c r="I54" s="12" t="s">
        <v>53</v>
      </c>
      <c r="J54" s="8" t="n">
        <v>0</v>
      </c>
      <c r="K54" s="2" t="s">
        <v>54</v>
      </c>
      <c r="L54" s="8" t="n">
        <v>0</v>
      </c>
      <c r="M54" s="9" t="n">
        <v>0</v>
      </c>
      <c r="N54" s="2" t="str">
        <f aca="false">IF(L54=0,"None",IF(M54&gt;0.6,"High",IF(M54&gt;0.2,"Medium","Low")))</f>
        <v>None</v>
      </c>
      <c r="O54" s="10" t="n">
        <f aca="false">J54+(L54-J54)*M54</f>
        <v>0</v>
      </c>
      <c r="P54" s="2"/>
      <c r="Q54" s="2" t="s">
        <v>463</v>
      </c>
      <c r="R54" s="2" t="s">
        <v>464</v>
      </c>
      <c r="S54" s="2" t="s">
        <v>465</v>
      </c>
      <c r="T54" s="2" t="s">
        <v>128</v>
      </c>
      <c r="U54" s="11" t="s">
        <v>466</v>
      </c>
      <c r="V54" s="2" t="s">
        <v>467</v>
      </c>
      <c r="W54" s="2" t="s">
        <v>60</v>
      </c>
      <c r="X54" s="2" t="s">
        <v>61</v>
      </c>
      <c r="Y54" s="2" t="s">
        <v>131</v>
      </c>
      <c r="Z54" s="2" t="s">
        <v>132</v>
      </c>
      <c r="AA54" s="2" t="s">
        <v>468</v>
      </c>
      <c r="AB54" s="2"/>
      <c r="AC54" s="2" t="s">
        <v>112</v>
      </c>
    </row>
    <row r="55" customFormat="false" ht="22.35" hidden="false" customHeight="false" outlineLevel="0" collapsed="false">
      <c r="A55" s="2" t="s">
        <v>469</v>
      </c>
      <c r="B55" s="14" t="s">
        <v>408</v>
      </c>
      <c r="C55" s="2" t="s">
        <v>409</v>
      </c>
      <c r="D55" s="2" t="s">
        <v>410</v>
      </c>
      <c r="E55" s="2" t="s">
        <v>411</v>
      </c>
      <c r="F55" s="4" t="n">
        <v>1</v>
      </c>
      <c r="G55" s="5" t="n">
        <v>4.33</v>
      </c>
      <c r="H55" s="6" t="n">
        <f aca="false">F55*G55</f>
        <v>4.33</v>
      </c>
      <c r="I55" s="13" t="s">
        <v>125</v>
      </c>
      <c r="J55" s="8" t="n">
        <v>0</v>
      </c>
      <c r="K55" s="2" t="s">
        <v>54</v>
      </c>
      <c r="L55" s="8" t="n">
        <v>0</v>
      </c>
      <c r="M55" s="9" t="n">
        <v>0</v>
      </c>
      <c r="N55" s="2" t="str">
        <f aca="false">IF(L55=0,"None",IF(M55&gt;0.6,"High",IF(M55&gt;0.2,"Medium","Low")))</f>
        <v>None</v>
      </c>
      <c r="O55" s="10" t="n">
        <f aca="false">J55+(L55-J55)*M55</f>
        <v>0</v>
      </c>
      <c r="P55" s="2"/>
      <c r="Q55" s="2" t="s">
        <v>470</v>
      </c>
      <c r="R55" s="2" t="s">
        <v>471</v>
      </c>
      <c r="S55" s="2" t="s">
        <v>472</v>
      </c>
      <c r="T55" s="2" t="s">
        <v>128</v>
      </c>
      <c r="U55" s="11" t="s">
        <v>473</v>
      </c>
      <c r="V55" s="2" t="s">
        <v>474</v>
      </c>
      <c r="W55" s="2" t="s">
        <v>60</v>
      </c>
      <c r="X55" s="2" t="s">
        <v>61</v>
      </c>
      <c r="Y55" s="2" t="s">
        <v>131</v>
      </c>
      <c r="Z55" s="2" t="s">
        <v>132</v>
      </c>
      <c r="AA55" s="2" t="s">
        <v>475</v>
      </c>
      <c r="AB55" s="2"/>
      <c r="AC55" s="2" t="s">
        <v>112</v>
      </c>
    </row>
    <row r="56" customFormat="false" ht="22.35" hidden="false" customHeight="false" outlineLevel="0" collapsed="false">
      <c r="A56" s="2" t="s">
        <v>476</v>
      </c>
      <c r="B56" s="14" t="s">
        <v>408</v>
      </c>
      <c r="C56" s="2" t="s">
        <v>409</v>
      </c>
      <c r="D56" s="2" t="s">
        <v>410</v>
      </c>
      <c r="E56" s="2" t="s">
        <v>411</v>
      </c>
      <c r="F56" s="4" t="n">
        <v>1</v>
      </c>
      <c r="G56" s="5" t="n">
        <v>4.33</v>
      </c>
      <c r="H56" s="6" t="n">
        <f aca="false">F56*G56</f>
        <v>4.33</v>
      </c>
      <c r="I56" s="12" t="s">
        <v>53</v>
      </c>
      <c r="J56" s="8" t="n">
        <v>0</v>
      </c>
      <c r="K56" s="2" t="s">
        <v>54</v>
      </c>
      <c r="L56" s="8" t="n">
        <v>0</v>
      </c>
      <c r="M56" s="9" t="n">
        <v>0</v>
      </c>
      <c r="N56" s="2" t="str">
        <f aca="false">IF(L56=0,"None",IF(M56&gt;0.6,"High",IF(M56&gt;0.2,"Medium","Low")))</f>
        <v>None</v>
      </c>
      <c r="O56" s="10" t="n">
        <f aca="false">J56+(L56-J56)*M56</f>
        <v>0</v>
      </c>
      <c r="P56" s="2"/>
      <c r="Q56" s="2" t="s">
        <v>477</v>
      </c>
      <c r="R56" s="2" t="s">
        <v>478</v>
      </c>
      <c r="S56" s="2" t="s">
        <v>479</v>
      </c>
      <c r="T56" s="2" t="s">
        <v>128</v>
      </c>
      <c r="U56" s="11" t="s">
        <v>480</v>
      </c>
      <c r="V56" s="2" t="s">
        <v>481</v>
      </c>
      <c r="W56" s="2" t="s">
        <v>60</v>
      </c>
      <c r="X56" s="2" t="s">
        <v>61</v>
      </c>
      <c r="Y56" s="2" t="s">
        <v>131</v>
      </c>
      <c r="Z56" s="2" t="s">
        <v>46</v>
      </c>
      <c r="AA56" s="2" t="s">
        <v>482</v>
      </c>
      <c r="AB56" s="2"/>
      <c r="AC56" s="2" t="s">
        <v>483</v>
      </c>
    </row>
    <row r="57" customFormat="false" ht="22.35" hidden="false" customHeight="false" outlineLevel="0" collapsed="false">
      <c r="A57" s="2" t="s">
        <v>484</v>
      </c>
      <c r="B57" s="14" t="s">
        <v>408</v>
      </c>
      <c r="C57" s="2" t="s">
        <v>409</v>
      </c>
      <c r="D57" s="2" t="s">
        <v>410</v>
      </c>
      <c r="E57" s="2" t="s">
        <v>411</v>
      </c>
      <c r="F57" s="4" t="n">
        <v>1</v>
      </c>
      <c r="G57" s="5" t="n">
        <v>4.33</v>
      </c>
      <c r="H57" s="6" t="n">
        <f aca="false">F57*G57</f>
        <v>4.33</v>
      </c>
      <c r="I57" s="12" t="s">
        <v>53</v>
      </c>
      <c r="J57" s="8" t="n">
        <v>0</v>
      </c>
      <c r="K57" s="2" t="s">
        <v>54</v>
      </c>
      <c r="L57" s="8" t="n">
        <v>0</v>
      </c>
      <c r="M57" s="9" t="n">
        <v>0</v>
      </c>
      <c r="N57" s="2" t="str">
        <f aca="false">IF(L57=0,"None",IF(M57&gt;0.6,"High",IF(M57&gt;0.2,"Medium","Low")))</f>
        <v>None</v>
      </c>
      <c r="O57" s="10" t="n">
        <f aca="false">J57+(L57-J57)*M57</f>
        <v>0</v>
      </c>
      <c r="P57" s="2"/>
      <c r="Q57" s="2" t="s">
        <v>485</v>
      </c>
      <c r="R57" s="2" t="s">
        <v>486</v>
      </c>
      <c r="S57" s="2" t="s">
        <v>487</v>
      </c>
      <c r="T57" s="2" t="s">
        <v>128</v>
      </c>
      <c r="U57" s="11" t="s">
        <v>488</v>
      </c>
      <c r="V57" s="2" t="s">
        <v>489</v>
      </c>
      <c r="W57" s="2" t="s">
        <v>60</v>
      </c>
      <c r="X57" s="2" t="s">
        <v>61</v>
      </c>
      <c r="Y57" s="2" t="s">
        <v>490</v>
      </c>
      <c r="Z57" s="2" t="s">
        <v>132</v>
      </c>
      <c r="AA57" s="2" t="s">
        <v>491</v>
      </c>
      <c r="AB57" s="2"/>
      <c r="AC57" s="2" t="s">
        <v>246</v>
      </c>
    </row>
    <row r="58" customFormat="false" ht="22.35" hidden="false" customHeight="false" outlineLevel="0" collapsed="false">
      <c r="A58" s="2" t="s">
        <v>492</v>
      </c>
      <c r="B58" s="14" t="s">
        <v>408</v>
      </c>
      <c r="C58" s="2" t="s">
        <v>409</v>
      </c>
      <c r="D58" s="2" t="s">
        <v>410</v>
      </c>
      <c r="E58" s="2" t="s">
        <v>411</v>
      </c>
      <c r="F58" s="4" t="n">
        <v>1</v>
      </c>
      <c r="G58" s="5" t="n">
        <v>4.33</v>
      </c>
      <c r="H58" s="6" t="n">
        <f aca="false">F58*G58</f>
        <v>4.33</v>
      </c>
      <c r="I58" s="13" t="s">
        <v>125</v>
      </c>
      <c r="J58" s="8" t="n">
        <v>0</v>
      </c>
      <c r="K58" s="2" t="s">
        <v>54</v>
      </c>
      <c r="L58" s="8" t="n">
        <v>0</v>
      </c>
      <c r="M58" s="9" t="n">
        <v>0</v>
      </c>
      <c r="N58" s="2" t="str">
        <f aca="false">IF(L58=0,"None",IF(M58&gt;0.6,"High",IF(M58&gt;0.2,"Medium","Low")))</f>
        <v>None</v>
      </c>
      <c r="O58" s="10" t="n">
        <f aca="false">J58+(L58-J58)*M58</f>
        <v>0</v>
      </c>
      <c r="P58" s="2"/>
      <c r="Q58" s="2" t="s">
        <v>277</v>
      </c>
      <c r="R58" s="2" t="s">
        <v>493</v>
      </c>
      <c r="S58" s="2" t="s">
        <v>494</v>
      </c>
      <c r="T58" s="2" t="s">
        <v>128</v>
      </c>
      <c r="U58" s="11" t="s">
        <v>495</v>
      </c>
      <c r="V58" s="2"/>
      <c r="W58" s="2" t="s">
        <v>60</v>
      </c>
      <c r="X58" s="2" t="s">
        <v>61</v>
      </c>
      <c r="Y58" s="2" t="s">
        <v>131</v>
      </c>
      <c r="Z58" s="2" t="s">
        <v>132</v>
      </c>
      <c r="AA58" s="2" t="s">
        <v>496</v>
      </c>
      <c r="AB58" s="2"/>
      <c r="AC58" s="2" t="s">
        <v>112</v>
      </c>
    </row>
    <row r="59" customFormat="false" ht="22.35" hidden="false" customHeight="false" outlineLevel="0" collapsed="false">
      <c r="A59" s="2" t="s">
        <v>497</v>
      </c>
      <c r="B59" s="14" t="s">
        <v>408</v>
      </c>
      <c r="C59" s="2" t="s">
        <v>409</v>
      </c>
      <c r="D59" s="2" t="s">
        <v>410</v>
      </c>
      <c r="E59" s="2" t="s">
        <v>411</v>
      </c>
      <c r="F59" s="4" t="n">
        <v>1</v>
      </c>
      <c r="G59" s="5" t="n">
        <v>4.33</v>
      </c>
      <c r="H59" s="6" t="n">
        <f aca="false">F59*G59</f>
        <v>4.33</v>
      </c>
      <c r="I59" s="13" t="s">
        <v>125</v>
      </c>
      <c r="J59" s="8" t="n">
        <v>0</v>
      </c>
      <c r="K59" s="2" t="s">
        <v>54</v>
      </c>
      <c r="L59" s="8" t="n">
        <v>0</v>
      </c>
      <c r="M59" s="9" t="n">
        <v>0</v>
      </c>
      <c r="N59" s="2" t="str">
        <f aca="false">IF(L59=0,"None",IF(M59&gt;0.6,"High",IF(M59&gt;0.2,"Medium","Low")))</f>
        <v>None</v>
      </c>
      <c r="O59" s="10" t="n">
        <f aca="false">J59+(L59-J59)*M59</f>
        <v>0</v>
      </c>
      <c r="P59" s="2"/>
      <c r="Q59" s="2" t="s">
        <v>277</v>
      </c>
      <c r="R59" s="2" t="s">
        <v>498</v>
      </c>
      <c r="S59" s="2" t="s">
        <v>499</v>
      </c>
      <c r="T59" s="2" t="s">
        <v>128</v>
      </c>
      <c r="U59" s="11" t="s">
        <v>500</v>
      </c>
      <c r="V59" s="2" t="s">
        <v>501</v>
      </c>
      <c r="W59" s="2" t="s">
        <v>60</v>
      </c>
      <c r="X59" s="2" t="s">
        <v>61</v>
      </c>
      <c r="Y59" s="2" t="s">
        <v>131</v>
      </c>
      <c r="Z59" s="2" t="s">
        <v>132</v>
      </c>
      <c r="AA59" s="2" t="s">
        <v>496</v>
      </c>
      <c r="AB59" s="2"/>
      <c r="AC59" s="2" t="s">
        <v>112</v>
      </c>
    </row>
    <row r="60" customFormat="false" ht="15" hidden="false" customHeight="false" outlineLevel="0" collapsed="false">
      <c r="A60" s="2" t="s">
        <v>502</v>
      </c>
      <c r="B60" s="14" t="s">
        <v>408</v>
      </c>
      <c r="C60" s="2" t="s">
        <v>409</v>
      </c>
      <c r="D60" s="2" t="s">
        <v>410</v>
      </c>
      <c r="E60" s="2" t="s">
        <v>411</v>
      </c>
      <c r="F60" s="4" t="n">
        <v>1</v>
      </c>
      <c r="G60" s="5" t="n">
        <v>4.33</v>
      </c>
      <c r="H60" s="6" t="n">
        <f aca="false">F60*G60</f>
        <v>4.33</v>
      </c>
      <c r="I60" s="13" t="s">
        <v>125</v>
      </c>
      <c r="J60" s="8" t="n">
        <v>0</v>
      </c>
      <c r="K60" s="2" t="s">
        <v>54</v>
      </c>
      <c r="L60" s="8" t="n">
        <v>0</v>
      </c>
      <c r="M60" s="9" t="n">
        <v>0</v>
      </c>
      <c r="N60" s="2" t="str">
        <f aca="false">IF(L60=0,"None",IF(M60&gt;0.6,"High",IF(M60&gt;0.2,"Medium","Low")))</f>
        <v>None</v>
      </c>
      <c r="O60" s="10" t="n">
        <f aca="false">J60+(L60-J60)*M60</f>
        <v>0</v>
      </c>
      <c r="P60" s="2"/>
      <c r="Q60" s="2" t="s">
        <v>285</v>
      </c>
      <c r="R60" s="2" t="s">
        <v>503</v>
      </c>
      <c r="S60" s="2" t="s">
        <v>504</v>
      </c>
      <c r="T60" s="2" t="s">
        <v>128</v>
      </c>
      <c r="U60" s="11" t="s">
        <v>505</v>
      </c>
      <c r="V60" s="2"/>
      <c r="W60" s="2" t="s">
        <v>60</v>
      </c>
      <c r="X60" s="2" t="s">
        <v>61</v>
      </c>
      <c r="Y60" s="2" t="s">
        <v>131</v>
      </c>
      <c r="Z60" s="2" t="s">
        <v>132</v>
      </c>
      <c r="AA60" s="2" t="s">
        <v>506</v>
      </c>
      <c r="AB60" s="2"/>
      <c r="AC60" s="2" t="s">
        <v>112</v>
      </c>
    </row>
    <row r="61" customFormat="false" ht="22.35" hidden="false" customHeight="false" outlineLevel="0" collapsed="false">
      <c r="A61" s="2" t="s">
        <v>507</v>
      </c>
      <c r="B61" s="14" t="s">
        <v>408</v>
      </c>
      <c r="C61" s="2" t="s">
        <v>409</v>
      </c>
      <c r="D61" s="2" t="s">
        <v>410</v>
      </c>
      <c r="E61" s="2" t="s">
        <v>411</v>
      </c>
      <c r="F61" s="4" t="n">
        <v>1</v>
      </c>
      <c r="G61" s="5" t="n">
        <v>4.33</v>
      </c>
      <c r="H61" s="6" t="n">
        <f aca="false">F61*G61</f>
        <v>4.33</v>
      </c>
      <c r="I61" s="13" t="s">
        <v>125</v>
      </c>
      <c r="J61" s="8" t="n">
        <v>0</v>
      </c>
      <c r="K61" s="2" t="s">
        <v>54</v>
      </c>
      <c r="L61" s="8" t="n">
        <v>0</v>
      </c>
      <c r="M61" s="9" t="n">
        <v>0</v>
      </c>
      <c r="N61" s="2" t="str">
        <f aca="false">IF(L61=0,"None",IF(M61&gt;0.6,"High",IF(M61&gt;0.2,"Medium","Low")))</f>
        <v>None</v>
      </c>
      <c r="O61" s="10" t="n">
        <f aca="false">J61+(L61-J61)*M61</f>
        <v>0</v>
      </c>
      <c r="P61" s="2"/>
      <c r="Q61" s="2" t="s">
        <v>171</v>
      </c>
      <c r="R61" s="2" t="s">
        <v>508</v>
      </c>
      <c r="S61" s="2" t="s">
        <v>509</v>
      </c>
      <c r="T61" s="2" t="s">
        <v>128</v>
      </c>
      <c r="U61" s="11" t="s">
        <v>510</v>
      </c>
      <c r="V61" s="2" t="s">
        <v>511</v>
      </c>
      <c r="W61" s="2" t="s">
        <v>60</v>
      </c>
      <c r="X61" s="2" t="s">
        <v>61</v>
      </c>
      <c r="Y61" s="2" t="s">
        <v>131</v>
      </c>
      <c r="Z61" s="2" t="s">
        <v>216</v>
      </c>
      <c r="AA61" s="2"/>
      <c r="AB61" s="2"/>
      <c r="AC61" s="2" t="s">
        <v>112</v>
      </c>
    </row>
    <row r="62" customFormat="false" ht="22.35" hidden="false" customHeight="false" outlineLevel="0" collapsed="false">
      <c r="A62" s="2" t="s">
        <v>512</v>
      </c>
      <c r="B62" s="15" t="s">
        <v>513</v>
      </c>
      <c r="C62" s="2" t="s">
        <v>514</v>
      </c>
      <c r="D62" s="2" t="s">
        <v>515</v>
      </c>
      <c r="E62" s="2" t="s">
        <v>516</v>
      </c>
      <c r="F62" s="4" t="n">
        <v>0</v>
      </c>
      <c r="G62" s="5" t="n">
        <v>1</v>
      </c>
      <c r="H62" s="6" t="n">
        <f aca="false">F62*G62</f>
        <v>0</v>
      </c>
      <c r="I62" s="7" t="s">
        <v>34</v>
      </c>
      <c r="J62" s="8" t="n">
        <v>0</v>
      </c>
      <c r="K62" s="2" t="s">
        <v>54</v>
      </c>
      <c r="L62" s="8" t="n">
        <v>0</v>
      </c>
      <c r="M62" s="9" t="n">
        <v>0</v>
      </c>
      <c r="N62" s="2" t="str">
        <f aca="false">IF(L62=0,"None",IF(M62&gt;0.6,"High",IF(M62&gt;0.2,"Medium","Low")))</f>
        <v>None</v>
      </c>
      <c r="O62" s="10" t="n">
        <f aca="false">J62+(L62-J62)*M62</f>
        <v>0</v>
      </c>
      <c r="P62" s="2"/>
      <c r="Q62" s="2" t="s">
        <v>517</v>
      </c>
      <c r="R62" s="2" t="s">
        <v>518</v>
      </c>
      <c r="S62" s="2" t="s">
        <v>519</v>
      </c>
      <c r="T62" s="2" t="s">
        <v>520</v>
      </c>
      <c r="U62" s="11" t="s">
        <v>521</v>
      </c>
      <c r="V62" s="2" t="s">
        <v>522</v>
      </c>
      <c r="W62" s="2" t="s">
        <v>60</v>
      </c>
      <c r="X62" s="2" t="s">
        <v>523</v>
      </c>
      <c r="Y62" s="2" t="s">
        <v>524</v>
      </c>
      <c r="Z62" s="2" t="s">
        <v>46</v>
      </c>
      <c r="AA62" s="2" t="s">
        <v>525</v>
      </c>
      <c r="AB62" s="2" t="s">
        <v>526</v>
      </c>
      <c r="AC62" s="2" t="s">
        <v>112</v>
      </c>
    </row>
    <row r="63" customFormat="false" ht="22.35" hidden="false" customHeight="false" outlineLevel="0" collapsed="false">
      <c r="A63" s="2" t="s">
        <v>527</v>
      </c>
      <c r="B63" s="15" t="s">
        <v>513</v>
      </c>
      <c r="C63" s="2" t="s">
        <v>514</v>
      </c>
      <c r="D63" s="2" t="s">
        <v>515</v>
      </c>
      <c r="E63" s="2" t="s">
        <v>516</v>
      </c>
      <c r="F63" s="4" t="n">
        <v>0</v>
      </c>
      <c r="G63" s="5" t="n">
        <v>1</v>
      </c>
      <c r="H63" s="6" t="n">
        <f aca="false">F63*G63</f>
        <v>0</v>
      </c>
      <c r="I63" s="7" t="s">
        <v>34</v>
      </c>
      <c r="J63" s="8" t="n">
        <v>0</v>
      </c>
      <c r="K63" s="2" t="s">
        <v>54</v>
      </c>
      <c r="L63" s="8" t="n">
        <v>0</v>
      </c>
      <c r="M63" s="9" t="n">
        <v>0</v>
      </c>
      <c r="N63" s="2" t="str">
        <f aca="false">IF(L63=0,"None",IF(M63&gt;0.6,"High",IF(M63&gt;0.2,"Medium","Low")))</f>
        <v>None</v>
      </c>
      <c r="O63" s="10" t="n">
        <f aca="false">J63+(L63-J63)*M63</f>
        <v>0</v>
      </c>
      <c r="P63" s="2"/>
      <c r="Q63" s="2" t="s">
        <v>517</v>
      </c>
      <c r="R63" s="2" t="s">
        <v>528</v>
      </c>
      <c r="S63" s="2" t="s">
        <v>529</v>
      </c>
      <c r="T63" s="2" t="s">
        <v>520</v>
      </c>
      <c r="U63" s="11" t="s">
        <v>530</v>
      </c>
      <c r="V63" s="2" t="s">
        <v>531</v>
      </c>
      <c r="W63" s="2" t="s">
        <v>60</v>
      </c>
      <c r="X63" s="2" t="s">
        <v>523</v>
      </c>
      <c r="Y63" s="2" t="s">
        <v>524</v>
      </c>
      <c r="Z63" s="2" t="s">
        <v>46</v>
      </c>
      <c r="AA63" s="2" t="s">
        <v>532</v>
      </c>
      <c r="AB63" s="2" t="s">
        <v>526</v>
      </c>
      <c r="AC63" s="2" t="s">
        <v>112</v>
      </c>
    </row>
    <row r="64" customFormat="false" ht="22.35" hidden="false" customHeight="false" outlineLevel="0" collapsed="false">
      <c r="A64" s="2" t="s">
        <v>533</v>
      </c>
      <c r="B64" s="15" t="s">
        <v>513</v>
      </c>
      <c r="C64" s="2" t="s">
        <v>514</v>
      </c>
      <c r="D64" s="2" t="s">
        <v>515</v>
      </c>
      <c r="E64" s="2" t="s">
        <v>516</v>
      </c>
      <c r="F64" s="4" t="n">
        <v>1</v>
      </c>
      <c r="G64" s="5" t="n">
        <v>1</v>
      </c>
      <c r="H64" s="6" t="n">
        <f aca="false">F64*G64</f>
        <v>1</v>
      </c>
      <c r="I64" s="12" t="s">
        <v>53</v>
      </c>
      <c r="J64" s="8" t="n">
        <v>0</v>
      </c>
      <c r="K64" s="2" t="s">
        <v>54</v>
      </c>
      <c r="L64" s="8" t="n">
        <v>0</v>
      </c>
      <c r="M64" s="9" t="n">
        <v>0</v>
      </c>
      <c r="N64" s="2" t="str">
        <f aca="false">IF(L64=0,"None",IF(M64&gt;0.6,"High",IF(M64&gt;0.2,"Medium","Low")))</f>
        <v>None</v>
      </c>
      <c r="O64" s="10" t="n">
        <f aca="false">J64+(L64-J64)*M64</f>
        <v>0</v>
      </c>
      <c r="P64" s="2"/>
      <c r="Q64" s="2" t="s">
        <v>517</v>
      </c>
      <c r="R64" s="2" t="s">
        <v>534</v>
      </c>
      <c r="S64" s="2" t="s">
        <v>535</v>
      </c>
      <c r="T64" s="2" t="s">
        <v>40</v>
      </c>
      <c r="U64" s="11" t="s">
        <v>536</v>
      </c>
      <c r="V64" s="2" t="s">
        <v>537</v>
      </c>
      <c r="W64" s="2" t="s">
        <v>43</v>
      </c>
      <c r="X64" s="2" t="s">
        <v>61</v>
      </c>
      <c r="Y64" s="2" t="s">
        <v>45</v>
      </c>
      <c r="Z64" s="2" t="s">
        <v>132</v>
      </c>
      <c r="AA64" s="2" t="s">
        <v>538</v>
      </c>
      <c r="AB64" s="2" t="s">
        <v>539</v>
      </c>
      <c r="AC64" s="2" t="s">
        <v>112</v>
      </c>
    </row>
    <row r="65" customFormat="false" ht="22.35" hidden="false" customHeight="false" outlineLevel="0" collapsed="false">
      <c r="A65" s="2" t="s">
        <v>540</v>
      </c>
      <c r="B65" s="15" t="s">
        <v>513</v>
      </c>
      <c r="C65" s="2" t="s">
        <v>541</v>
      </c>
      <c r="D65" s="2" t="s">
        <v>542</v>
      </c>
      <c r="E65" s="2" t="s">
        <v>543</v>
      </c>
      <c r="F65" s="4" t="n">
        <v>1</v>
      </c>
      <c r="G65" s="5" t="n">
        <v>1</v>
      </c>
      <c r="H65" s="6" t="n">
        <f aca="false">F65*G65</f>
        <v>1</v>
      </c>
      <c r="I65" s="7" t="s">
        <v>34</v>
      </c>
      <c r="J65" s="8" t="n">
        <v>0</v>
      </c>
      <c r="K65" s="2" t="s">
        <v>54</v>
      </c>
      <c r="L65" s="8" t="n">
        <v>0</v>
      </c>
      <c r="M65" s="9" t="n">
        <v>0</v>
      </c>
      <c r="N65" s="2" t="str">
        <f aca="false">IF(L65=0,"None",IF(M65&gt;0.6,"High",IF(M65&gt;0.2,"Medium","Low")))</f>
        <v>None</v>
      </c>
      <c r="O65" s="10" t="n">
        <f aca="false">J65+(L65-J65)*M65</f>
        <v>0</v>
      </c>
      <c r="P65" s="2"/>
      <c r="Q65" s="2" t="s">
        <v>145</v>
      </c>
      <c r="R65" s="2" t="s">
        <v>544</v>
      </c>
      <c r="S65" s="2" t="s">
        <v>147</v>
      </c>
      <c r="T65" s="2" t="s">
        <v>128</v>
      </c>
      <c r="U65" s="11" t="s">
        <v>545</v>
      </c>
      <c r="V65" s="2" t="s">
        <v>546</v>
      </c>
      <c r="W65" s="2" t="s">
        <v>60</v>
      </c>
      <c r="X65" s="2" t="s">
        <v>61</v>
      </c>
      <c r="Y65" s="2" t="s">
        <v>131</v>
      </c>
      <c r="Z65" s="2" t="s">
        <v>46</v>
      </c>
      <c r="AA65" s="2" t="s">
        <v>547</v>
      </c>
      <c r="AB65" s="2" t="s">
        <v>548</v>
      </c>
      <c r="AC65" s="2" t="s">
        <v>549</v>
      </c>
    </row>
    <row r="66" customFormat="false" ht="32.8" hidden="false" customHeight="false" outlineLevel="0" collapsed="false">
      <c r="A66" s="2" t="s">
        <v>550</v>
      </c>
      <c r="B66" s="15" t="s">
        <v>513</v>
      </c>
      <c r="C66" s="2" t="s">
        <v>541</v>
      </c>
      <c r="D66" s="2" t="s">
        <v>551</v>
      </c>
      <c r="E66" s="2" t="s">
        <v>552</v>
      </c>
      <c r="F66" s="4" t="n">
        <v>1</v>
      </c>
      <c r="G66" s="5" t="n">
        <v>1</v>
      </c>
      <c r="H66" s="6" t="n">
        <f aca="false">F66*G66</f>
        <v>1</v>
      </c>
      <c r="I66" s="7" t="s">
        <v>34</v>
      </c>
      <c r="J66" s="8" t="n">
        <v>0</v>
      </c>
      <c r="K66" s="2" t="s">
        <v>54</v>
      </c>
      <c r="L66" s="8" t="n">
        <v>0</v>
      </c>
      <c r="M66" s="9" t="n">
        <v>0</v>
      </c>
      <c r="N66" s="2" t="str">
        <f aca="false">IF(L66=0,"None",IF(M66&gt;0.6,"High",IF(M66&gt;0.2,"Medium","Low")))</f>
        <v>None</v>
      </c>
      <c r="O66" s="10" t="n">
        <f aca="false">J66+(L66-J66)*M66</f>
        <v>0</v>
      </c>
      <c r="P66" s="2"/>
      <c r="Q66" s="2" t="s">
        <v>357</v>
      </c>
      <c r="R66" s="2" t="s">
        <v>553</v>
      </c>
      <c r="S66" s="2" t="s">
        <v>554</v>
      </c>
      <c r="T66" s="2" t="s">
        <v>380</v>
      </c>
      <c r="U66" s="11" t="s">
        <v>555</v>
      </c>
      <c r="V66" s="2" t="s">
        <v>556</v>
      </c>
      <c r="W66" s="2" t="s">
        <v>557</v>
      </c>
      <c r="X66" s="2" t="s">
        <v>558</v>
      </c>
      <c r="Y66" s="2" t="s">
        <v>45</v>
      </c>
      <c r="Z66" s="2" t="s">
        <v>46</v>
      </c>
      <c r="AA66" s="2" t="s">
        <v>559</v>
      </c>
      <c r="AB66" s="2" t="s">
        <v>560</v>
      </c>
      <c r="AC66" s="2" t="s">
        <v>549</v>
      </c>
    </row>
    <row r="67" customFormat="false" ht="32.8" hidden="false" customHeight="false" outlineLevel="0" collapsed="false">
      <c r="A67" s="2" t="s">
        <v>561</v>
      </c>
      <c r="B67" s="15" t="s">
        <v>513</v>
      </c>
      <c r="C67" s="2" t="s">
        <v>541</v>
      </c>
      <c r="D67" s="2" t="s">
        <v>542</v>
      </c>
      <c r="E67" s="2" t="s">
        <v>543</v>
      </c>
      <c r="F67" s="4" t="n">
        <v>1</v>
      </c>
      <c r="G67" s="5" t="n">
        <v>1</v>
      </c>
      <c r="H67" s="6" t="n">
        <f aca="false">F67*G67</f>
        <v>1</v>
      </c>
      <c r="I67" s="7" t="s">
        <v>34</v>
      </c>
      <c r="J67" s="8" t="n">
        <v>0</v>
      </c>
      <c r="K67" s="2" t="s">
        <v>54</v>
      </c>
      <c r="L67" s="8" t="n">
        <v>0</v>
      </c>
      <c r="M67" s="9" t="n">
        <v>0</v>
      </c>
      <c r="N67" s="2" t="str">
        <f aca="false">IF(L67=0,"None",IF(M67&gt;0.6,"High",IF(M67&gt;0.2,"Medium","Low")))</f>
        <v>None</v>
      </c>
      <c r="O67" s="10" t="n">
        <f aca="false">J67+(L67-J67)*M67</f>
        <v>0</v>
      </c>
      <c r="P67" s="2"/>
      <c r="Q67" s="2" t="s">
        <v>357</v>
      </c>
      <c r="R67" s="2" t="s">
        <v>562</v>
      </c>
      <c r="S67" s="2" t="s">
        <v>563</v>
      </c>
      <c r="T67" s="2" t="s">
        <v>564</v>
      </c>
      <c r="U67" s="11" t="s">
        <v>565</v>
      </c>
      <c r="V67" s="2"/>
      <c r="W67" s="2" t="s">
        <v>60</v>
      </c>
      <c r="X67" s="2" t="s">
        <v>61</v>
      </c>
      <c r="Y67" s="2" t="s">
        <v>131</v>
      </c>
      <c r="Z67" s="2" t="s">
        <v>46</v>
      </c>
      <c r="AA67" s="2" t="s">
        <v>566</v>
      </c>
      <c r="AB67" s="2" t="s">
        <v>567</v>
      </c>
      <c r="AC67" s="2" t="s">
        <v>549</v>
      </c>
    </row>
    <row r="68" customFormat="false" ht="32.8" hidden="false" customHeight="false" outlineLevel="0" collapsed="false">
      <c r="A68" s="2" t="s">
        <v>568</v>
      </c>
      <c r="B68" s="15" t="s">
        <v>513</v>
      </c>
      <c r="C68" s="2" t="s">
        <v>541</v>
      </c>
      <c r="D68" s="2" t="s">
        <v>569</v>
      </c>
      <c r="E68" s="2" t="s">
        <v>570</v>
      </c>
      <c r="F68" s="4" t="n">
        <v>1</v>
      </c>
      <c r="G68" s="5" t="n">
        <v>1</v>
      </c>
      <c r="H68" s="6" t="n">
        <f aca="false">F68*G68</f>
        <v>1</v>
      </c>
      <c r="I68" s="12" t="s">
        <v>53</v>
      </c>
      <c r="J68" s="8" t="n">
        <v>0</v>
      </c>
      <c r="K68" s="2" t="s">
        <v>54</v>
      </c>
      <c r="L68" s="8" t="n">
        <v>0</v>
      </c>
      <c r="M68" s="9" t="n">
        <v>0</v>
      </c>
      <c r="N68" s="2" t="str">
        <f aca="false">IF(L68=0,"None",IF(M68&gt;0.6,"High",IF(M68&gt;0.2,"Medium","Low")))</f>
        <v>None</v>
      </c>
      <c r="O68" s="10" t="n">
        <f aca="false">J68+(L68-J68)*M68</f>
        <v>0</v>
      </c>
      <c r="P68" s="2"/>
      <c r="Q68" s="2" t="s">
        <v>357</v>
      </c>
      <c r="R68" s="2" t="s">
        <v>571</v>
      </c>
      <c r="S68" s="2" t="s">
        <v>572</v>
      </c>
      <c r="T68" s="2" t="s">
        <v>40</v>
      </c>
      <c r="U68" s="11" t="s">
        <v>573</v>
      </c>
      <c r="V68" s="2"/>
      <c r="W68" s="2" t="s">
        <v>192</v>
      </c>
      <c r="X68" s="2" t="s">
        <v>61</v>
      </c>
      <c r="Y68" s="2" t="s">
        <v>45</v>
      </c>
      <c r="Z68" s="2" t="s">
        <v>216</v>
      </c>
      <c r="AA68" s="2" t="s">
        <v>574</v>
      </c>
      <c r="AB68" s="2"/>
      <c r="AC68" s="2" t="s">
        <v>549</v>
      </c>
    </row>
    <row r="69" customFormat="false" ht="22.35" hidden="false" customHeight="false" outlineLevel="0" collapsed="false">
      <c r="A69" s="2" t="s">
        <v>575</v>
      </c>
      <c r="B69" s="15" t="s">
        <v>513</v>
      </c>
      <c r="C69" s="2" t="s">
        <v>541</v>
      </c>
      <c r="D69" s="2" t="s">
        <v>576</v>
      </c>
      <c r="E69" s="2" t="s">
        <v>577</v>
      </c>
      <c r="F69" s="4" t="n">
        <v>2</v>
      </c>
      <c r="G69" s="5" t="n">
        <v>1</v>
      </c>
      <c r="H69" s="6" t="n">
        <f aca="false">F69*G69</f>
        <v>2</v>
      </c>
      <c r="I69" s="13" t="s">
        <v>125</v>
      </c>
      <c r="J69" s="8" t="n">
        <v>0</v>
      </c>
      <c r="K69" s="2" t="s">
        <v>54</v>
      </c>
      <c r="L69" s="8" t="n">
        <v>0</v>
      </c>
      <c r="M69" s="9" t="n">
        <v>0</v>
      </c>
      <c r="N69" s="2" t="str">
        <f aca="false">IF(L69=0,"None",IF(M69&gt;0.6,"High",IF(M69&gt;0.2,"Medium","Low")))</f>
        <v>None</v>
      </c>
      <c r="O69" s="10" t="n">
        <f aca="false">J69+(L69-J69)*M69</f>
        <v>0</v>
      </c>
      <c r="P69" s="2"/>
      <c r="Q69" s="2" t="s">
        <v>153</v>
      </c>
      <c r="R69" s="2" t="s">
        <v>578</v>
      </c>
      <c r="S69" s="2" t="s">
        <v>579</v>
      </c>
      <c r="T69" s="2" t="s">
        <v>40</v>
      </c>
      <c r="U69" s="11" t="s">
        <v>580</v>
      </c>
      <c r="V69" s="2" t="s">
        <v>581</v>
      </c>
      <c r="W69" s="2" t="s">
        <v>582</v>
      </c>
      <c r="X69" s="2" t="s">
        <v>61</v>
      </c>
      <c r="Y69" s="2" t="s">
        <v>45</v>
      </c>
      <c r="Z69" s="2" t="s">
        <v>216</v>
      </c>
      <c r="AA69" s="2" t="s">
        <v>583</v>
      </c>
      <c r="AB69" s="2" t="s">
        <v>584</v>
      </c>
      <c r="AC69" s="2" t="s">
        <v>549</v>
      </c>
    </row>
    <row r="70" customFormat="false" ht="22.35" hidden="false" customHeight="false" outlineLevel="0" collapsed="false">
      <c r="A70" s="2" t="s">
        <v>585</v>
      </c>
      <c r="B70" s="15" t="s">
        <v>513</v>
      </c>
      <c r="C70" s="2" t="s">
        <v>541</v>
      </c>
      <c r="D70" s="2" t="s">
        <v>586</v>
      </c>
      <c r="E70" s="2" t="s">
        <v>587</v>
      </c>
      <c r="F70" s="4" t="n">
        <v>2</v>
      </c>
      <c r="G70" s="5" t="n">
        <v>1</v>
      </c>
      <c r="H70" s="6" t="n">
        <f aca="false">F70*G70</f>
        <v>2</v>
      </c>
      <c r="I70" s="7" t="s">
        <v>34</v>
      </c>
      <c r="J70" s="8" t="n">
        <v>0</v>
      </c>
      <c r="K70" s="2" t="s">
        <v>54</v>
      </c>
      <c r="L70" s="8" t="n">
        <v>0</v>
      </c>
      <c r="M70" s="9" t="n">
        <v>0</v>
      </c>
      <c r="N70" s="2" t="str">
        <f aca="false">IF(L70=0,"None",IF(M70&gt;0.6,"High",IF(M70&gt;0.2,"Medium","Low")))</f>
        <v>None</v>
      </c>
      <c r="O70" s="10" t="n">
        <f aca="false">J70+(L70-J70)*M70</f>
        <v>0</v>
      </c>
      <c r="P70" s="2"/>
      <c r="Q70" s="2" t="s">
        <v>255</v>
      </c>
      <c r="R70" s="2" t="s">
        <v>588</v>
      </c>
      <c r="S70" s="2" t="s">
        <v>589</v>
      </c>
      <c r="T70" s="2" t="s">
        <v>590</v>
      </c>
      <c r="U70" s="11" t="s">
        <v>591</v>
      </c>
      <c r="V70" s="2" t="s">
        <v>592</v>
      </c>
      <c r="W70" s="2" t="s">
        <v>60</v>
      </c>
      <c r="X70" s="2" t="s">
        <v>61</v>
      </c>
      <c r="Y70" s="2" t="s">
        <v>593</v>
      </c>
      <c r="Z70" s="2" t="s">
        <v>46</v>
      </c>
      <c r="AA70" s="2" t="s">
        <v>594</v>
      </c>
      <c r="AB70" s="2" t="s">
        <v>595</v>
      </c>
      <c r="AC70" s="2" t="s">
        <v>549</v>
      </c>
    </row>
    <row r="71" customFormat="false" ht="64.15" hidden="false" customHeight="false" outlineLevel="0" collapsed="false">
      <c r="A71" s="2" t="s">
        <v>596</v>
      </c>
      <c r="B71" s="15" t="s">
        <v>513</v>
      </c>
      <c r="C71" s="2" t="s">
        <v>541</v>
      </c>
      <c r="D71" s="2" t="s">
        <v>597</v>
      </c>
      <c r="E71" s="2" t="s">
        <v>598</v>
      </c>
      <c r="F71" s="4" t="n">
        <v>1</v>
      </c>
      <c r="G71" s="5" t="n">
        <v>2</v>
      </c>
      <c r="H71" s="6" t="n">
        <f aca="false">F71*G71</f>
        <v>2</v>
      </c>
      <c r="I71" s="12" t="s">
        <v>53</v>
      </c>
      <c r="J71" s="8" t="n">
        <v>0</v>
      </c>
      <c r="K71" s="2" t="s">
        <v>54</v>
      </c>
      <c r="L71" s="8" t="n">
        <v>0</v>
      </c>
      <c r="M71" s="9" t="n">
        <v>0</v>
      </c>
      <c r="N71" s="2" t="str">
        <f aca="false">IF(L71=0,"None",IF(M71&gt;0.6,"High",IF(M71&gt;0.2,"Medium","Low")))</f>
        <v>None</v>
      </c>
      <c r="O71" s="10" t="n">
        <f aca="false">J71+(L71-J71)*M71</f>
        <v>0</v>
      </c>
      <c r="P71" s="2"/>
      <c r="Q71" s="2" t="s">
        <v>599</v>
      </c>
      <c r="R71" s="2" t="s">
        <v>600</v>
      </c>
      <c r="S71" s="2" t="s">
        <v>601</v>
      </c>
      <c r="T71" s="2" t="s">
        <v>380</v>
      </c>
      <c r="U71" s="11" t="s">
        <v>602</v>
      </c>
      <c r="V71" s="2" t="s">
        <v>603</v>
      </c>
      <c r="W71" s="2" t="s">
        <v>604</v>
      </c>
      <c r="X71" s="2" t="s">
        <v>605</v>
      </c>
      <c r="Y71" s="2" t="s">
        <v>606</v>
      </c>
      <c r="Z71" s="2" t="s">
        <v>46</v>
      </c>
      <c r="AA71" s="2" t="s">
        <v>607</v>
      </c>
      <c r="AB71" s="2" t="s">
        <v>608</v>
      </c>
      <c r="AC71" s="2" t="s">
        <v>549</v>
      </c>
    </row>
    <row r="72" customFormat="false" ht="43.25" hidden="false" customHeight="false" outlineLevel="0" collapsed="false">
      <c r="A72" s="2" t="s">
        <v>609</v>
      </c>
      <c r="B72" s="16" t="s">
        <v>610</v>
      </c>
      <c r="C72" s="2" t="s">
        <v>611</v>
      </c>
      <c r="D72" s="2" t="s">
        <v>612</v>
      </c>
      <c r="E72" s="2" t="s">
        <v>613</v>
      </c>
      <c r="F72" s="4" t="n">
        <v>1</v>
      </c>
      <c r="G72" s="5" t="n">
        <v>0.33</v>
      </c>
      <c r="H72" s="6" t="n">
        <f aca="false">F72*G72</f>
        <v>0.33</v>
      </c>
      <c r="I72" s="7" t="s">
        <v>34</v>
      </c>
      <c r="J72" s="8" t="n">
        <v>0</v>
      </c>
      <c r="K72" s="2" t="s">
        <v>54</v>
      </c>
      <c r="L72" s="8" t="n">
        <v>0</v>
      </c>
      <c r="M72" s="9" t="n">
        <v>0</v>
      </c>
      <c r="N72" s="2" t="str">
        <f aca="false">IF(L72=0,"None",IF(M72&gt;0.6,"High",IF(M72&gt;0.2,"Medium","Low")))</f>
        <v>None</v>
      </c>
      <c r="O72" s="10" t="n">
        <f aca="false">J72+(L72-J72)*M72</f>
        <v>0</v>
      </c>
      <c r="P72" s="2"/>
      <c r="Q72" s="2" t="s">
        <v>134</v>
      </c>
      <c r="R72" s="2" t="s">
        <v>614</v>
      </c>
      <c r="S72" s="2" t="s">
        <v>615</v>
      </c>
      <c r="T72" s="2" t="s">
        <v>40</v>
      </c>
      <c r="U72" s="11" t="s">
        <v>616</v>
      </c>
      <c r="V72" s="2" t="s">
        <v>617</v>
      </c>
      <c r="W72" s="2" t="s">
        <v>618</v>
      </c>
      <c r="X72" s="2" t="s">
        <v>61</v>
      </c>
      <c r="Y72" s="2" t="s">
        <v>45</v>
      </c>
      <c r="Z72" s="2" t="s">
        <v>46</v>
      </c>
      <c r="AA72" s="2" t="s">
        <v>619</v>
      </c>
      <c r="AB72" s="2"/>
      <c r="AC72" s="2" t="s">
        <v>49</v>
      </c>
    </row>
    <row r="73" customFormat="false" ht="53.7" hidden="false" customHeight="false" outlineLevel="0" collapsed="false">
      <c r="A73" s="2" t="s">
        <v>620</v>
      </c>
      <c r="B73" s="16" t="s">
        <v>610</v>
      </c>
      <c r="C73" s="2" t="s">
        <v>611</v>
      </c>
      <c r="D73" s="2" t="s">
        <v>621</v>
      </c>
      <c r="E73" s="2" t="s">
        <v>622</v>
      </c>
      <c r="F73" s="4" t="n">
        <v>1</v>
      </c>
      <c r="G73" s="5" t="n">
        <v>0.67</v>
      </c>
      <c r="H73" s="6" t="n">
        <f aca="false">F73*G73</f>
        <v>0.67</v>
      </c>
      <c r="I73" s="7" t="s">
        <v>34</v>
      </c>
      <c r="J73" s="8" t="n">
        <v>0</v>
      </c>
      <c r="K73" s="2" t="s">
        <v>54</v>
      </c>
      <c r="L73" s="8" t="n">
        <v>0</v>
      </c>
      <c r="M73" s="9" t="n">
        <v>0</v>
      </c>
      <c r="N73" s="2" t="str">
        <f aca="false">IF(L73=0,"None",IF(M73&gt;0.6,"High",IF(M73&gt;0.2,"Medium","Low")))</f>
        <v>None</v>
      </c>
      <c r="O73" s="10" t="n">
        <f aca="false">J73+(L73-J73)*M73</f>
        <v>0</v>
      </c>
      <c r="P73" s="2"/>
      <c r="Q73" s="2" t="s">
        <v>134</v>
      </c>
      <c r="R73" s="2" t="s">
        <v>623</v>
      </c>
      <c r="S73" s="2" t="s">
        <v>624</v>
      </c>
      <c r="T73" s="2" t="s">
        <v>128</v>
      </c>
      <c r="U73" s="11" t="s">
        <v>625</v>
      </c>
      <c r="V73" s="2" t="s">
        <v>626</v>
      </c>
      <c r="W73" s="2" t="s">
        <v>60</v>
      </c>
      <c r="X73" s="2" t="s">
        <v>61</v>
      </c>
      <c r="Y73" s="2" t="s">
        <v>627</v>
      </c>
      <c r="Z73" s="2" t="s">
        <v>46</v>
      </c>
      <c r="AA73" s="2" t="s">
        <v>628</v>
      </c>
      <c r="AB73" s="2" t="s">
        <v>629</v>
      </c>
      <c r="AC73" s="2" t="s">
        <v>49</v>
      </c>
    </row>
    <row r="74" customFormat="false" ht="22.35" hidden="false" customHeight="false" outlineLevel="0" collapsed="false">
      <c r="A74" s="2" t="s">
        <v>630</v>
      </c>
      <c r="B74" s="16" t="s">
        <v>610</v>
      </c>
      <c r="C74" s="2" t="s">
        <v>611</v>
      </c>
      <c r="D74" s="2" t="s">
        <v>631</v>
      </c>
      <c r="E74" s="2" t="s">
        <v>631</v>
      </c>
      <c r="F74" s="4" t="n">
        <v>1</v>
      </c>
      <c r="G74" s="5" t="n">
        <v>0.33</v>
      </c>
      <c r="H74" s="6" t="n">
        <f aca="false">F74*G74</f>
        <v>0.33</v>
      </c>
      <c r="I74" s="12" t="s">
        <v>53</v>
      </c>
      <c r="J74" s="8" t="n">
        <v>0</v>
      </c>
      <c r="K74" s="2" t="s">
        <v>54</v>
      </c>
      <c r="L74" s="8" t="n">
        <v>0</v>
      </c>
      <c r="M74" s="9" t="n">
        <v>0</v>
      </c>
      <c r="N74" s="2" t="str">
        <f aca="false">IF(L74=0,"None",IF(M74&gt;0.6,"High",IF(M74&gt;0.2,"Medium","Low")))</f>
        <v>None</v>
      </c>
      <c r="O74" s="10" t="n">
        <f aca="false">J74+(L74-J74)*M74</f>
        <v>0</v>
      </c>
      <c r="P74" s="2"/>
      <c r="Q74" s="2" t="s">
        <v>436</v>
      </c>
      <c r="R74" s="2" t="s">
        <v>632</v>
      </c>
      <c r="S74" s="2" t="s">
        <v>633</v>
      </c>
      <c r="T74" s="2" t="s">
        <v>128</v>
      </c>
      <c r="U74" s="11" t="s">
        <v>634</v>
      </c>
      <c r="V74" s="2" t="s">
        <v>635</v>
      </c>
      <c r="W74" s="2" t="s">
        <v>60</v>
      </c>
      <c r="X74" s="2" t="s">
        <v>61</v>
      </c>
      <c r="Y74" s="2" t="s">
        <v>636</v>
      </c>
      <c r="Z74" s="2" t="s">
        <v>46</v>
      </c>
      <c r="AA74" s="2" t="s">
        <v>637</v>
      </c>
      <c r="AB74" s="2"/>
      <c r="AC74" s="2" t="s">
        <v>49</v>
      </c>
    </row>
    <row r="75" customFormat="false" ht="22.35" hidden="false" customHeight="false" outlineLevel="0" collapsed="false">
      <c r="A75" s="2" t="s">
        <v>638</v>
      </c>
      <c r="B75" s="16" t="s">
        <v>610</v>
      </c>
      <c r="C75" s="2" t="s">
        <v>611</v>
      </c>
      <c r="D75" s="2" t="s">
        <v>639</v>
      </c>
      <c r="E75" s="2" t="s">
        <v>640</v>
      </c>
      <c r="F75" s="4" t="n">
        <v>1</v>
      </c>
      <c r="G75" s="5" t="n">
        <v>0.33</v>
      </c>
      <c r="H75" s="6" t="n">
        <f aca="false">F75*G75</f>
        <v>0.33</v>
      </c>
      <c r="I75" s="7" t="s">
        <v>34</v>
      </c>
      <c r="J75" s="8" t="n">
        <v>0</v>
      </c>
      <c r="K75" s="2" t="s">
        <v>54</v>
      </c>
      <c r="L75" s="8" t="n">
        <v>0</v>
      </c>
      <c r="M75" s="9" t="n">
        <v>0</v>
      </c>
      <c r="N75" s="2" t="str">
        <f aca="false">IF(L75=0,"None",IF(M75&gt;0.6,"High",IF(M75&gt;0.2,"Medium","Low")))</f>
        <v>None</v>
      </c>
      <c r="O75" s="10" t="n">
        <f aca="false">J75+(L75-J75)*M75</f>
        <v>0</v>
      </c>
      <c r="P75" s="2"/>
      <c r="Q75" s="2" t="s">
        <v>303</v>
      </c>
      <c r="R75" s="2" t="s">
        <v>641</v>
      </c>
      <c r="S75" s="2" t="s">
        <v>642</v>
      </c>
      <c r="T75" s="2" t="s">
        <v>40</v>
      </c>
      <c r="U75" s="11" t="s">
        <v>643</v>
      </c>
      <c r="V75" s="2" t="s">
        <v>644</v>
      </c>
      <c r="W75" s="2" t="s">
        <v>645</v>
      </c>
      <c r="X75" s="2" t="s">
        <v>61</v>
      </c>
      <c r="Y75" s="2" t="s">
        <v>45</v>
      </c>
      <c r="Z75" s="2" t="s">
        <v>46</v>
      </c>
      <c r="AA75" s="2" t="s">
        <v>646</v>
      </c>
      <c r="AB75" s="2" t="s">
        <v>647</v>
      </c>
      <c r="AC75" s="2" t="s">
        <v>49</v>
      </c>
    </row>
    <row r="76" customFormat="false" ht="32.8" hidden="false" customHeight="false" outlineLevel="0" collapsed="false">
      <c r="A76" s="2" t="s">
        <v>648</v>
      </c>
      <c r="B76" s="16" t="s">
        <v>649</v>
      </c>
      <c r="C76" s="2" t="s">
        <v>650</v>
      </c>
      <c r="D76" s="2" t="s">
        <v>651</v>
      </c>
      <c r="E76" s="2" t="s">
        <v>652</v>
      </c>
      <c r="F76" s="4" t="n">
        <v>1</v>
      </c>
      <c r="G76" s="5" t="n">
        <v>0.0833333333333333</v>
      </c>
      <c r="H76" s="6" t="n">
        <f aca="false">F76*G76</f>
        <v>0.0833333333333333</v>
      </c>
      <c r="I76" s="13" t="s">
        <v>125</v>
      </c>
      <c r="J76" s="8" t="n">
        <v>0</v>
      </c>
      <c r="K76" s="2" t="s">
        <v>54</v>
      </c>
      <c r="L76" s="8" t="n">
        <v>0</v>
      </c>
      <c r="M76" s="9" t="n">
        <v>0</v>
      </c>
      <c r="N76" s="2" t="str">
        <f aca="false">IF(L76=0,"None",IF(M76&gt;0.6,"High",IF(M76&gt;0.2,"Medium","Low")))</f>
        <v>None</v>
      </c>
      <c r="O76" s="10" t="n">
        <f aca="false">J76+(L76-J76)*M76</f>
        <v>0</v>
      </c>
      <c r="P76" s="2"/>
      <c r="Q76" s="2" t="s">
        <v>436</v>
      </c>
      <c r="R76" s="2" t="s">
        <v>653</v>
      </c>
      <c r="S76" s="2" t="s">
        <v>438</v>
      </c>
      <c r="T76" s="2" t="s">
        <v>654</v>
      </c>
      <c r="U76" s="11" t="s">
        <v>655</v>
      </c>
      <c r="V76" s="2" t="s">
        <v>656</v>
      </c>
      <c r="W76" s="2" t="s">
        <v>60</v>
      </c>
      <c r="X76" s="2" t="s">
        <v>61</v>
      </c>
      <c r="Y76" s="2" t="s">
        <v>224</v>
      </c>
      <c r="Z76" s="2" t="s">
        <v>46</v>
      </c>
      <c r="AA76" s="2"/>
      <c r="AB76" s="2"/>
      <c r="AC76" s="2" t="s">
        <v>652</v>
      </c>
    </row>
    <row r="77" customFormat="false" ht="32.8" hidden="false" customHeight="false" outlineLevel="0" collapsed="false">
      <c r="A77" s="2" t="s">
        <v>657</v>
      </c>
      <c r="B77" s="16" t="s">
        <v>649</v>
      </c>
      <c r="C77" s="2" t="s">
        <v>650</v>
      </c>
      <c r="D77" s="2" t="s">
        <v>651</v>
      </c>
      <c r="E77" s="2" t="s">
        <v>652</v>
      </c>
      <c r="F77" s="4" t="n">
        <v>1</v>
      </c>
      <c r="G77" s="5" t="n">
        <v>0.0833333333333333</v>
      </c>
      <c r="H77" s="6" t="n">
        <f aca="false">F77*G77</f>
        <v>0.0833333333333333</v>
      </c>
      <c r="I77" s="12" t="s">
        <v>53</v>
      </c>
      <c r="J77" s="8" t="n">
        <v>0</v>
      </c>
      <c r="K77" s="2" t="s">
        <v>54</v>
      </c>
      <c r="L77" s="8" t="n">
        <v>0</v>
      </c>
      <c r="M77" s="9" t="n">
        <v>0</v>
      </c>
      <c r="N77" s="2" t="str">
        <f aca="false">IF(L77=0,"None",IF(M77&gt;0.6,"High",IF(M77&gt;0.2,"Medium","Low")))</f>
        <v>None</v>
      </c>
      <c r="O77" s="10" t="n">
        <f aca="false">J77+(L77-J77)*M77</f>
        <v>0</v>
      </c>
      <c r="P77" s="2"/>
      <c r="Q77" s="2" t="s">
        <v>517</v>
      </c>
      <c r="R77" s="2" t="s">
        <v>658</v>
      </c>
      <c r="S77" s="2" t="s">
        <v>659</v>
      </c>
      <c r="T77" s="2" t="s">
        <v>128</v>
      </c>
      <c r="U77" s="11" t="s">
        <v>660</v>
      </c>
      <c r="V77" s="2" t="s">
        <v>661</v>
      </c>
      <c r="W77" s="2" t="s">
        <v>60</v>
      </c>
      <c r="X77" s="2" t="s">
        <v>61</v>
      </c>
      <c r="Y77" s="2" t="s">
        <v>131</v>
      </c>
      <c r="Z77" s="2" t="s">
        <v>132</v>
      </c>
      <c r="AA77" s="2" t="s">
        <v>662</v>
      </c>
      <c r="AB77" s="2" t="s">
        <v>663</v>
      </c>
      <c r="AC77" s="2" t="s">
        <v>652</v>
      </c>
    </row>
    <row r="78" customFormat="false" ht="32.8" hidden="false" customHeight="false" outlineLevel="0" collapsed="false">
      <c r="A78" s="2" t="s">
        <v>664</v>
      </c>
      <c r="B78" s="16" t="s">
        <v>649</v>
      </c>
      <c r="C78" s="2" t="s">
        <v>650</v>
      </c>
      <c r="D78" s="2" t="s">
        <v>651</v>
      </c>
      <c r="E78" s="2" t="s">
        <v>652</v>
      </c>
      <c r="F78" s="4" t="n">
        <v>1</v>
      </c>
      <c r="G78" s="5" t="n">
        <v>0.0833333333333333</v>
      </c>
      <c r="H78" s="6" t="n">
        <f aca="false">F78*G78</f>
        <v>0.0833333333333333</v>
      </c>
      <c r="I78" s="12" t="s">
        <v>53</v>
      </c>
      <c r="J78" s="8" t="n">
        <v>0</v>
      </c>
      <c r="K78" s="2" t="s">
        <v>54</v>
      </c>
      <c r="L78" s="8" t="n">
        <v>0</v>
      </c>
      <c r="M78" s="9" t="n">
        <v>0</v>
      </c>
      <c r="N78" s="2" t="str">
        <f aca="false">IF(L78=0,"None",IF(M78&gt;0.6,"High",IF(M78&gt;0.2,"Medium","Low")))</f>
        <v>None</v>
      </c>
      <c r="O78" s="10" t="n">
        <f aca="false">J78+(L78-J78)*M78</f>
        <v>0</v>
      </c>
      <c r="P78" s="2"/>
      <c r="Q78" s="2" t="s">
        <v>517</v>
      </c>
      <c r="R78" s="2" t="s">
        <v>665</v>
      </c>
      <c r="S78" s="2" t="s">
        <v>666</v>
      </c>
      <c r="T78" s="2" t="s">
        <v>128</v>
      </c>
      <c r="U78" s="11" t="s">
        <v>667</v>
      </c>
      <c r="V78" s="2" t="s">
        <v>668</v>
      </c>
      <c r="W78" s="2" t="s">
        <v>60</v>
      </c>
      <c r="X78" s="2" t="s">
        <v>61</v>
      </c>
      <c r="Y78" s="2" t="s">
        <v>131</v>
      </c>
      <c r="Z78" s="2" t="s">
        <v>132</v>
      </c>
      <c r="AA78" s="2" t="s">
        <v>669</v>
      </c>
      <c r="AB78" s="2" t="s">
        <v>670</v>
      </c>
      <c r="AC78" s="2" t="s">
        <v>652</v>
      </c>
    </row>
    <row r="79" customFormat="false" ht="32.8" hidden="false" customHeight="false" outlineLevel="0" collapsed="false">
      <c r="A79" s="2" t="s">
        <v>671</v>
      </c>
      <c r="B79" s="16" t="s">
        <v>649</v>
      </c>
      <c r="C79" s="2" t="s">
        <v>650</v>
      </c>
      <c r="D79" s="2" t="s">
        <v>651</v>
      </c>
      <c r="E79" s="2" t="s">
        <v>652</v>
      </c>
      <c r="F79" s="4" t="n">
        <v>1</v>
      </c>
      <c r="G79" s="5" t="n">
        <v>0.0833333333333333</v>
      </c>
      <c r="H79" s="6" t="n">
        <f aca="false">F79*G79</f>
        <v>0.0833333333333333</v>
      </c>
      <c r="I79" s="13" t="s">
        <v>125</v>
      </c>
      <c r="J79" s="8" t="n">
        <v>0</v>
      </c>
      <c r="K79" s="2" t="s">
        <v>54</v>
      </c>
      <c r="L79" s="8" t="n">
        <v>0</v>
      </c>
      <c r="M79" s="9" t="n">
        <v>0</v>
      </c>
      <c r="N79" s="2" t="str">
        <f aca="false">IF(L79=0,"None",IF(M79&gt;0.6,"High",IF(M79&gt;0.2,"Medium","Low")))</f>
        <v>None</v>
      </c>
      <c r="O79" s="10" t="n">
        <f aca="false">J79+(L79-J79)*M79</f>
        <v>0</v>
      </c>
      <c r="P79" s="2"/>
      <c r="Q79" s="2" t="s">
        <v>517</v>
      </c>
      <c r="R79" s="2" t="s">
        <v>672</v>
      </c>
      <c r="S79" s="2" t="s">
        <v>673</v>
      </c>
      <c r="T79" s="2" t="s">
        <v>128</v>
      </c>
      <c r="U79" s="11" t="s">
        <v>674</v>
      </c>
      <c r="V79" s="2"/>
      <c r="W79" s="2" t="s">
        <v>60</v>
      </c>
      <c r="X79" s="2" t="s">
        <v>61</v>
      </c>
      <c r="Y79" s="2" t="s">
        <v>131</v>
      </c>
      <c r="Z79" s="2" t="s">
        <v>205</v>
      </c>
      <c r="AA79" s="2" t="s">
        <v>675</v>
      </c>
      <c r="AB79" s="2" t="s">
        <v>670</v>
      </c>
      <c r="AC79" s="2" t="s">
        <v>652</v>
      </c>
    </row>
    <row r="80" customFormat="false" ht="32.8" hidden="false" customHeight="false" outlineLevel="0" collapsed="false">
      <c r="A80" s="2" t="s">
        <v>676</v>
      </c>
      <c r="B80" s="16" t="s">
        <v>649</v>
      </c>
      <c r="C80" s="2" t="s">
        <v>650</v>
      </c>
      <c r="D80" s="2" t="s">
        <v>651</v>
      </c>
      <c r="E80" s="2" t="s">
        <v>652</v>
      </c>
      <c r="F80" s="4" t="n">
        <v>1</v>
      </c>
      <c r="G80" s="5" t="n">
        <v>0.0833333333333333</v>
      </c>
      <c r="H80" s="6" t="n">
        <f aca="false">F80*G80</f>
        <v>0.0833333333333333</v>
      </c>
      <c r="I80" s="12" t="s">
        <v>53</v>
      </c>
      <c r="J80" s="8" t="n">
        <v>0</v>
      </c>
      <c r="K80" s="2" t="s">
        <v>54</v>
      </c>
      <c r="L80" s="8" t="n">
        <v>0</v>
      </c>
      <c r="M80" s="9" t="n">
        <v>0</v>
      </c>
      <c r="N80" s="2" t="str">
        <f aca="false">IF(L80=0,"None",IF(M80&gt;0.6,"High",IF(M80&gt;0.2,"Medium","Low")))</f>
        <v>None</v>
      </c>
      <c r="O80" s="10" t="n">
        <f aca="false">J80+(L80-J80)*M80</f>
        <v>0</v>
      </c>
      <c r="P80" s="2"/>
      <c r="Q80" s="2" t="s">
        <v>517</v>
      </c>
      <c r="R80" s="2" t="s">
        <v>677</v>
      </c>
      <c r="S80" s="2" t="s">
        <v>678</v>
      </c>
      <c r="T80" s="2" t="s">
        <v>128</v>
      </c>
      <c r="U80" s="11" t="s">
        <v>679</v>
      </c>
      <c r="V80" s="2" t="s">
        <v>680</v>
      </c>
      <c r="W80" s="2" t="s">
        <v>60</v>
      </c>
      <c r="X80" s="2" t="s">
        <v>61</v>
      </c>
      <c r="Y80" s="2" t="s">
        <v>490</v>
      </c>
      <c r="Z80" s="2" t="s">
        <v>132</v>
      </c>
      <c r="AA80" s="2" t="s">
        <v>681</v>
      </c>
      <c r="AB80" s="2" t="s">
        <v>682</v>
      </c>
      <c r="AC80" s="2" t="s">
        <v>652</v>
      </c>
    </row>
    <row r="81" customFormat="false" ht="32.8" hidden="false" customHeight="false" outlineLevel="0" collapsed="false">
      <c r="A81" s="2" t="s">
        <v>683</v>
      </c>
      <c r="B81" s="17" t="s">
        <v>684</v>
      </c>
      <c r="C81" s="2" t="s">
        <v>685</v>
      </c>
      <c r="D81" s="2" t="s">
        <v>686</v>
      </c>
      <c r="E81" s="2" t="s">
        <v>686</v>
      </c>
      <c r="F81" s="4" t="n">
        <v>9</v>
      </c>
      <c r="G81" s="5" t="n">
        <v>0</v>
      </c>
      <c r="H81" s="6" t="n">
        <f aca="false">F81*G81</f>
        <v>0</v>
      </c>
      <c r="I81" s="13" t="s">
        <v>125</v>
      </c>
      <c r="J81" s="8" t="n">
        <v>0</v>
      </c>
      <c r="K81" s="2" t="s">
        <v>54</v>
      </c>
      <c r="L81" s="8" t="n">
        <v>0</v>
      </c>
      <c r="M81" s="9" t="n">
        <v>0</v>
      </c>
      <c r="N81" s="2" t="str">
        <f aca="false">IF(L81=0,"None",IF(M81&gt;0.6,"High",IF(M81&gt;0.2,"Medium","Low")))</f>
        <v>None</v>
      </c>
      <c r="O81" s="10" t="n">
        <f aca="false">J81+(L81-J81)*M81</f>
        <v>0</v>
      </c>
      <c r="P81" s="2"/>
      <c r="Q81" s="2" t="s">
        <v>37</v>
      </c>
      <c r="R81" s="2" t="s">
        <v>687</v>
      </c>
      <c r="S81" s="2" t="s">
        <v>688</v>
      </c>
      <c r="T81" s="2" t="s">
        <v>689</v>
      </c>
      <c r="U81" s="11" t="s">
        <v>690</v>
      </c>
      <c r="V81" s="2" t="s">
        <v>691</v>
      </c>
      <c r="W81" s="2" t="s">
        <v>60</v>
      </c>
      <c r="X81" s="2" t="s">
        <v>61</v>
      </c>
      <c r="Y81" s="2" t="s">
        <v>45</v>
      </c>
      <c r="Z81" s="2" t="s">
        <v>90</v>
      </c>
      <c r="AA81" s="2" t="s">
        <v>692</v>
      </c>
      <c r="AB81" s="2" t="s">
        <v>693</v>
      </c>
      <c r="AC81" s="2" t="s">
        <v>49</v>
      </c>
    </row>
    <row r="82" customFormat="false" ht="22.35" hidden="false" customHeight="false" outlineLevel="0" collapsed="false">
      <c r="A82" s="2" t="s">
        <v>694</v>
      </c>
      <c r="B82" s="17" t="s">
        <v>684</v>
      </c>
      <c r="C82" s="2" t="s">
        <v>685</v>
      </c>
      <c r="D82" s="2" t="s">
        <v>695</v>
      </c>
      <c r="E82" s="2" t="s">
        <v>652</v>
      </c>
      <c r="F82" s="4" t="n">
        <v>0</v>
      </c>
      <c r="G82" s="5" t="n">
        <v>0</v>
      </c>
      <c r="H82" s="6" t="n">
        <f aca="false">F82*G82</f>
        <v>0</v>
      </c>
      <c r="I82" s="13" t="s">
        <v>125</v>
      </c>
      <c r="J82" s="8" t="n">
        <v>0</v>
      </c>
      <c r="K82" s="2" t="s">
        <v>54</v>
      </c>
      <c r="L82" s="8" t="n">
        <v>0</v>
      </c>
      <c r="M82" s="9" t="n">
        <v>0</v>
      </c>
      <c r="N82" s="2" t="str">
        <f aca="false">IF(L82=0,"None",IF(M82&gt;0.6,"High",IF(M82&gt;0.2,"Medium","Low")))</f>
        <v>None</v>
      </c>
      <c r="O82" s="10" t="n">
        <f aca="false">J82+(L82-J82)*M82</f>
        <v>0</v>
      </c>
      <c r="P82" s="2"/>
      <c r="Q82" s="2" t="s">
        <v>104</v>
      </c>
      <c r="R82" s="2" t="s">
        <v>696</v>
      </c>
      <c r="S82" s="2" t="s">
        <v>697</v>
      </c>
      <c r="T82" s="2" t="s">
        <v>128</v>
      </c>
      <c r="U82" s="11" t="s">
        <v>698</v>
      </c>
      <c r="V82" s="2" t="s">
        <v>699</v>
      </c>
      <c r="W82" s="2" t="s">
        <v>700</v>
      </c>
      <c r="X82" s="2" t="s">
        <v>701</v>
      </c>
      <c r="Y82" s="2" t="s">
        <v>131</v>
      </c>
      <c r="Z82" s="2" t="s">
        <v>702</v>
      </c>
      <c r="AA82" s="2" t="s">
        <v>703</v>
      </c>
      <c r="AB82" s="2" t="s">
        <v>704</v>
      </c>
      <c r="AC82" s="2" t="s">
        <v>652</v>
      </c>
    </row>
    <row r="83" customFormat="false" ht="32.8" hidden="false" customHeight="false" outlineLevel="0" collapsed="false">
      <c r="A83" s="2" t="s">
        <v>705</v>
      </c>
      <c r="B83" s="17" t="s">
        <v>706</v>
      </c>
      <c r="C83" s="2" t="s">
        <v>707</v>
      </c>
      <c r="D83" s="2" t="s">
        <v>708</v>
      </c>
      <c r="E83" s="2" t="s">
        <v>652</v>
      </c>
      <c r="F83" s="4" t="n">
        <v>2</v>
      </c>
      <c r="G83" s="5" t="n">
        <v>0</v>
      </c>
      <c r="H83" s="6" t="n">
        <f aca="false">F83*G83</f>
        <v>0</v>
      </c>
      <c r="I83" s="13" t="s">
        <v>125</v>
      </c>
      <c r="J83" s="8" t="n">
        <v>0</v>
      </c>
      <c r="K83" s="2" t="s">
        <v>54</v>
      </c>
      <c r="L83" s="8" t="n">
        <v>0</v>
      </c>
      <c r="M83" s="9" t="n">
        <v>0</v>
      </c>
      <c r="N83" s="2" t="str">
        <f aca="false">IF(L83=0,"None",IF(M83&gt;0.6,"High",IF(M83&gt;0.2,"Medium","Low")))</f>
        <v>None</v>
      </c>
      <c r="O83" s="10" t="n">
        <f aca="false">J83+(L83-J83)*M83</f>
        <v>0</v>
      </c>
      <c r="P83" s="2"/>
      <c r="Q83" s="2" t="s">
        <v>37</v>
      </c>
      <c r="R83" s="2" t="s">
        <v>709</v>
      </c>
      <c r="S83" s="2" t="s">
        <v>710</v>
      </c>
      <c r="T83" s="2" t="s">
        <v>40</v>
      </c>
      <c r="U83" s="11" t="s">
        <v>711</v>
      </c>
      <c r="V83" s="2" t="s">
        <v>712</v>
      </c>
      <c r="W83" s="2" t="s">
        <v>73</v>
      </c>
      <c r="X83" s="2" t="s">
        <v>713</v>
      </c>
      <c r="Y83" s="2" t="s">
        <v>606</v>
      </c>
      <c r="Z83" s="2" t="s">
        <v>205</v>
      </c>
      <c r="AA83" s="2" t="s">
        <v>714</v>
      </c>
      <c r="AB83" s="2"/>
      <c r="AC83" s="2" t="s">
        <v>49</v>
      </c>
    </row>
    <row r="84" customFormat="false" ht="22.35" hidden="false" customHeight="false" outlineLevel="0" collapsed="false">
      <c r="A84" s="2" t="s">
        <v>715</v>
      </c>
      <c r="B84" s="17" t="s">
        <v>706</v>
      </c>
      <c r="C84" s="2" t="s">
        <v>707</v>
      </c>
      <c r="D84" s="2" t="s">
        <v>708</v>
      </c>
      <c r="E84" s="2" t="s">
        <v>652</v>
      </c>
      <c r="F84" s="4" t="n">
        <v>2</v>
      </c>
      <c r="G84" s="5" t="n">
        <v>0</v>
      </c>
      <c r="H84" s="6" t="n">
        <f aca="false">F84*G84</f>
        <v>0</v>
      </c>
      <c r="I84" s="13" t="s">
        <v>125</v>
      </c>
      <c r="J84" s="8" t="n">
        <v>0</v>
      </c>
      <c r="K84" s="2" t="s">
        <v>54</v>
      </c>
      <c r="L84" s="8" t="n">
        <v>0</v>
      </c>
      <c r="M84" s="9" t="n">
        <v>0</v>
      </c>
      <c r="N84" s="2" t="str">
        <f aca="false">IF(L84=0,"None",IF(M84&gt;0.6,"High",IF(M84&gt;0.2,"Medium","Low")))</f>
        <v>None</v>
      </c>
      <c r="O84" s="10" t="n">
        <f aca="false">J84+(L84-J84)*M84</f>
        <v>0</v>
      </c>
      <c r="P84" s="2"/>
      <c r="Q84" s="2" t="s">
        <v>37</v>
      </c>
      <c r="R84" s="2" t="s">
        <v>716</v>
      </c>
      <c r="S84" s="2" t="s">
        <v>79</v>
      </c>
      <c r="T84" s="2" t="s">
        <v>40</v>
      </c>
      <c r="U84" s="11" t="s">
        <v>717</v>
      </c>
      <c r="V84" s="2" t="s">
        <v>718</v>
      </c>
      <c r="W84" s="2" t="s">
        <v>73</v>
      </c>
      <c r="X84" s="2" t="s">
        <v>719</v>
      </c>
      <c r="Y84" s="2" t="s">
        <v>45</v>
      </c>
      <c r="Z84" s="2" t="s">
        <v>205</v>
      </c>
      <c r="AA84" s="2" t="s">
        <v>720</v>
      </c>
      <c r="AB84" s="2"/>
      <c r="AC84" s="2" t="s">
        <v>49</v>
      </c>
    </row>
    <row r="85" customFormat="false" ht="22.35" hidden="false" customHeight="false" outlineLevel="0" collapsed="false">
      <c r="A85" s="2" t="s">
        <v>721</v>
      </c>
      <c r="B85" s="17" t="s">
        <v>706</v>
      </c>
      <c r="C85" s="2" t="s">
        <v>707</v>
      </c>
      <c r="D85" s="2" t="s">
        <v>708</v>
      </c>
      <c r="E85" s="2" t="s">
        <v>652</v>
      </c>
      <c r="F85" s="4" t="n">
        <v>4</v>
      </c>
      <c r="G85" s="5" t="n">
        <v>0</v>
      </c>
      <c r="H85" s="6" t="n">
        <f aca="false">F85*G85</f>
        <v>0</v>
      </c>
      <c r="I85" s="13" t="s">
        <v>125</v>
      </c>
      <c r="J85" s="8" t="n">
        <v>0</v>
      </c>
      <c r="K85" s="2" t="s">
        <v>54</v>
      </c>
      <c r="L85" s="8" t="n">
        <v>0</v>
      </c>
      <c r="M85" s="9" t="n">
        <v>0</v>
      </c>
      <c r="N85" s="2" t="str">
        <f aca="false">IF(L85=0,"None",IF(M85&gt;0.6,"High",IF(M85&gt;0.2,"Medium","Low")))</f>
        <v>None</v>
      </c>
      <c r="O85" s="10" t="n">
        <f aca="false">J85+(L85-J85)*M85</f>
        <v>0</v>
      </c>
      <c r="P85" s="2"/>
      <c r="Q85" s="2" t="s">
        <v>357</v>
      </c>
      <c r="R85" s="2" t="s">
        <v>722</v>
      </c>
      <c r="S85" s="2" t="s">
        <v>197</v>
      </c>
      <c r="T85" s="2" t="s">
        <v>40</v>
      </c>
      <c r="U85" s="11" t="s">
        <v>723</v>
      </c>
      <c r="V85" s="2" t="s">
        <v>724</v>
      </c>
      <c r="W85" s="2" t="s">
        <v>73</v>
      </c>
      <c r="X85" s="2" t="s">
        <v>61</v>
      </c>
      <c r="Y85" s="2" t="s">
        <v>45</v>
      </c>
      <c r="Z85" s="2" t="s">
        <v>205</v>
      </c>
      <c r="AA85" s="2" t="s">
        <v>725</v>
      </c>
      <c r="AB85" s="2" t="s">
        <v>726</v>
      </c>
      <c r="AC85" s="2" t="s">
        <v>112</v>
      </c>
    </row>
    <row r="86" customFormat="false" ht="22.35" hidden="false" customHeight="false" outlineLevel="0" collapsed="false">
      <c r="A86" s="2" t="s">
        <v>727</v>
      </c>
      <c r="B86" s="17" t="s">
        <v>706</v>
      </c>
      <c r="C86" s="2" t="s">
        <v>707</v>
      </c>
      <c r="D86" s="2" t="s">
        <v>708</v>
      </c>
      <c r="E86" s="2" t="s">
        <v>652</v>
      </c>
      <c r="F86" s="4" t="n">
        <v>1</v>
      </c>
      <c r="G86" s="5" t="n">
        <v>0</v>
      </c>
      <c r="H86" s="6" t="n">
        <f aca="false">F86*G86</f>
        <v>0</v>
      </c>
      <c r="I86" s="13" t="s">
        <v>125</v>
      </c>
      <c r="J86" s="8" t="n">
        <v>0</v>
      </c>
      <c r="K86" s="2" t="s">
        <v>54</v>
      </c>
      <c r="L86" s="8" t="n">
        <v>0</v>
      </c>
      <c r="M86" s="9" t="n">
        <v>0</v>
      </c>
      <c r="N86" s="2" t="str">
        <f aca="false">IF(L86=0,"None",IF(M86&gt;0.6,"High",IF(M86&gt;0.2,"Medium","Low")))</f>
        <v>None</v>
      </c>
      <c r="O86" s="10" t="n">
        <f aca="false">J86+(L86-J86)*M86</f>
        <v>0</v>
      </c>
      <c r="P86" s="2"/>
      <c r="Q86" s="2" t="s">
        <v>68</v>
      </c>
      <c r="R86" s="2" t="s">
        <v>728</v>
      </c>
      <c r="S86" s="2" t="s">
        <v>729</v>
      </c>
      <c r="T86" s="2" t="s">
        <v>40</v>
      </c>
      <c r="U86" s="11" t="s">
        <v>730</v>
      </c>
      <c r="V86" s="2" t="s">
        <v>731</v>
      </c>
      <c r="W86" s="2" t="s">
        <v>73</v>
      </c>
      <c r="X86" s="2" t="s">
        <v>732</v>
      </c>
      <c r="Y86" s="2" t="s">
        <v>45</v>
      </c>
      <c r="Z86" s="2" t="s">
        <v>205</v>
      </c>
      <c r="AA86" s="2"/>
      <c r="AB86" s="2"/>
      <c r="AC86" s="2" t="s">
        <v>49</v>
      </c>
    </row>
    <row r="87" customFormat="false" ht="22.35" hidden="false" customHeight="false" outlineLevel="0" collapsed="false">
      <c r="A87" s="2" t="s">
        <v>733</v>
      </c>
      <c r="B87" s="17" t="s">
        <v>706</v>
      </c>
      <c r="C87" s="2" t="s">
        <v>707</v>
      </c>
      <c r="D87" s="2" t="s">
        <v>708</v>
      </c>
      <c r="E87" s="2" t="s">
        <v>652</v>
      </c>
      <c r="F87" s="4" t="n">
        <v>3</v>
      </c>
      <c r="G87" s="5" t="n">
        <v>0</v>
      </c>
      <c r="H87" s="6" t="n">
        <f aca="false">F87*G87</f>
        <v>0</v>
      </c>
      <c r="I87" s="13" t="s">
        <v>125</v>
      </c>
      <c r="J87" s="8" t="n">
        <v>0</v>
      </c>
      <c r="K87" s="2" t="s">
        <v>54</v>
      </c>
      <c r="L87" s="8" t="n">
        <v>0</v>
      </c>
      <c r="M87" s="9" t="n">
        <v>0</v>
      </c>
      <c r="N87" s="2" t="str">
        <f aca="false">IF(L87=0,"None",IF(M87&gt;0.6,"High",IF(M87&gt;0.2,"Medium","Low")))</f>
        <v>None</v>
      </c>
      <c r="O87" s="10" t="n">
        <f aca="false">J87+(L87-J87)*M87</f>
        <v>0</v>
      </c>
      <c r="P87" s="2"/>
      <c r="Q87" s="2" t="s">
        <v>517</v>
      </c>
      <c r="R87" s="2" t="s">
        <v>734</v>
      </c>
      <c r="S87" s="2" t="s">
        <v>735</v>
      </c>
      <c r="T87" s="2" t="s">
        <v>40</v>
      </c>
      <c r="U87" s="11" t="s">
        <v>736</v>
      </c>
      <c r="V87" s="2"/>
      <c r="W87" s="2" t="s">
        <v>60</v>
      </c>
      <c r="X87" s="2" t="s">
        <v>61</v>
      </c>
      <c r="Y87" s="2" t="s">
        <v>45</v>
      </c>
      <c r="Z87" s="2" t="s">
        <v>205</v>
      </c>
      <c r="AA87" s="2" t="s">
        <v>737</v>
      </c>
      <c r="AB87" s="2" t="s">
        <v>738</v>
      </c>
      <c r="AC87" s="2" t="s">
        <v>739</v>
      </c>
    </row>
    <row r="88" customFormat="false" ht="22.35" hidden="false" customHeight="false" outlineLevel="0" collapsed="false">
      <c r="A88" s="2" t="s">
        <v>740</v>
      </c>
      <c r="B88" s="17" t="s">
        <v>706</v>
      </c>
      <c r="C88" s="2" t="s">
        <v>707</v>
      </c>
      <c r="D88" s="2" t="s">
        <v>708</v>
      </c>
      <c r="E88" s="2" t="s">
        <v>652</v>
      </c>
      <c r="F88" s="4" t="n">
        <v>3</v>
      </c>
      <c r="G88" s="5" t="n">
        <v>0</v>
      </c>
      <c r="H88" s="6" t="n">
        <f aca="false">F88*G88</f>
        <v>0</v>
      </c>
      <c r="I88" s="13" t="s">
        <v>125</v>
      </c>
      <c r="J88" s="8" t="n">
        <v>0</v>
      </c>
      <c r="K88" s="2" t="s">
        <v>54</v>
      </c>
      <c r="L88" s="8" t="n">
        <v>0</v>
      </c>
      <c r="M88" s="9" t="n">
        <v>0</v>
      </c>
      <c r="N88" s="2" t="str">
        <f aca="false">IF(L88=0,"None",IF(M88&gt;0.6,"High",IF(M88&gt;0.2,"Medium","Low")))</f>
        <v>None</v>
      </c>
      <c r="O88" s="10" t="n">
        <f aca="false">J88+(L88-J88)*M88</f>
        <v>0</v>
      </c>
      <c r="P88" s="2"/>
      <c r="Q88" s="2" t="s">
        <v>37</v>
      </c>
      <c r="R88" s="2" t="s">
        <v>741</v>
      </c>
      <c r="S88" s="2" t="s">
        <v>197</v>
      </c>
      <c r="T88" s="2" t="s">
        <v>40</v>
      </c>
      <c r="U88" s="11" t="s">
        <v>742</v>
      </c>
      <c r="V88" s="2" t="s">
        <v>743</v>
      </c>
      <c r="W88" s="2" t="s">
        <v>192</v>
      </c>
      <c r="X88" s="2" t="s">
        <v>61</v>
      </c>
      <c r="Y88" s="2" t="s">
        <v>45</v>
      </c>
      <c r="Z88" s="2" t="s">
        <v>205</v>
      </c>
      <c r="AA88" s="2" t="s">
        <v>744</v>
      </c>
      <c r="AB88" s="2" t="s">
        <v>745</v>
      </c>
      <c r="AC88" s="2" t="s">
        <v>112</v>
      </c>
    </row>
    <row r="89" customFormat="false" ht="53.7" hidden="false" customHeight="false" outlineLevel="0" collapsed="false">
      <c r="A89" s="2" t="s">
        <v>746</v>
      </c>
      <c r="B89" s="17" t="s">
        <v>747</v>
      </c>
      <c r="C89" s="2" t="s">
        <v>748</v>
      </c>
      <c r="D89" s="2" t="s">
        <v>749</v>
      </c>
      <c r="E89" s="2" t="s">
        <v>652</v>
      </c>
      <c r="F89" s="4" t="n">
        <v>0</v>
      </c>
      <c r="G89" s="5" t="n">
        <v>0</v>
      </c>
      <c r="H89" s="6" t="n">
        <f aca="false">F89*G89</f>
        <v>0</v>
      </c>
      <c r="I89" s="17" t="s">
        <v>652</v>
      </c>
      <c r="J89" s="8" t="n">
        <v>0</v>
      </c>
      <c r="K89" s="2" t="s">
        <v>35</v>
      </c>
      <c r="L89" s="8" t="n">
        <v>0</v>
      </c>
      <c r="M89" s="9" t="n">
        <v>0</v>
      </c>
      <c r="N89" s="2" t="str">
        <f aca="false">IF(L89=0,"None",IF(M89&gt;0.6,"High",IF(M89&gt;0.2,"Medium","Low")))</f>
        <v>None</v>
      </c>
      <c r="O89" s="10" t="n">
        <f aca="false">J89+(L89-J89)*M89</f>
        <v>0</v>
      </c>
      <c r="P89" s="2" t="s">
        <v>750</v>
      </c>
      <c r="Q89" s="2" t="s">
        <v>145</v>
      </c>
      <c r="R89" s="2" t="s">
        <v>751</v>
      </c>
      <c r="S89" s="2" t="s">
        <v>752</v>
      </c>
      <c r="T89" s="2" t="s">
        <v>753</v>
      </c>
      <c r="U89" s="11" t="s">
        <v>754</v>
      </c>
      <c r="V89" s="2" t="s">
        <v>755</v>
      </c>
      <c r="W89" s="2" t="s">
        <v>756</v>
      </c>
      <c r="X89" s="2" t="s">
        <v>757</v>
      </c>
      <c r="Y89" s="2" t="s">
        <v>758</v>
      </c>
      <c r="Z89" s="2" t="s">
        <v>759</v>
      </c>
      <c r="AA89" s="2" t="s">
        <v>760</v>
      </c>
      <c r="AB89" s="2" t="s">
        <v>761</v>
      </c>
      <c r="AC89" s="2" t="s">
        <v>652</v>
      </c>
    </row>
    <row r="90" customFormat="false" ht="53.7" hidden="false" customHeight="false" outlineLevel="0" collapsed="false">
      <c r="A90" s="2" t="s">
        <v>762</v>
      </c>
      <c r="B90" s="17" t="s">
        <v>747</v>
      </c>
      <c r="C90" s="2" t="s">
        <v>748</v>
      </c>
      <c r="D90" s="2" t="s">
        <v>749</v>
      </c>
      <c r="E90" s="2" t="s">
        <v>652</v>
      </c>
      <c r="F90" s="4" t="n">
        <v>0</v>
      </c>
      <c r="G90" s="5" t="n">
        <v>0</v>
      </c>
      <c r="H90" s="6" t="n">
        <f aca="false">F90*G90</f>
        <v>0</v>
      </c>
      <c r="I90" s="17" t="s">
        <v>652</v>
      </c>
      <c r="J90" s="8" t="n">
        <v>0</v>
      </c>
      <c r="K90" s="2" t="s">
        <v>35</v>
      </c>
      <c r="L90" s="8" t="n">
        <v>0</v>
      </c>
      <c r="M90" s="9" t="n">
        <v>0</v>
      </c>
      <c r="N90" s="2" t="str">
        <f aca="false">IF(L90=0,"None",IF(M90&gt;0.6,"High",IF(M90&gt;0.2,"Medium","Low")))</f>
        <v>None</v>
      </c>
      <c r="O90" s="10" t="n">
        <f aca="false">J90+(L90-J90)*M90</f>
        <v>0</v>
      </c>
      <c r="P90" s="2" t="s">
        <v>763</v>
      </c>
      <c r="Q90" s="2" t="s">
        <v>201</v>
      </c>
      <c r="R90" s="2" t="s">
        <v>764</v>
      </c>
      <c r="S90" s="2" t="s">
        <v>79</v>
      </c>
      <c r="T90" s="2" t="s">
        <v>40</v>
      </c>
      <c r="U90" s="11" t="s">
        <v>765</v>
      </c>
      <c r="V90" s="2"/>
      <c r="W90" s="2" t="s">
        <v>73</v>
      </c>
      <c r="X90" s="2" t="s">
        <v>766</v>
      </c>
      <c r="Y90" s="2" t="s">
        <v>45</v>
      </c>
      <c r="Z90" s="2" t="s">
        <v>759</v>
      </c>
      <c r="AA90" s="2" t="s">
        <v>767</v>
      </c>
      <c r="AB90" s="2" t="s">
        <v>768</v>
      </c>
      <c r="AC90" s="2" t="s">
        <v>652</v>
      </c>
    </row>
    <row r="91" customFormat="false" ht="43.25" hidden="false" customHeight="false" outlineLevel="0" collapsed="false">
      <c r="A91" s="2" t="s">
        <v>769</v>
      </c>
      <c r="B91" s="17" t="s">
        <v>747</v>
      </c>
      <c r="C91" s="2" t="s">
        <v>748</v>
      </c>
      <c r="D91" s="2" t="s">
        <v>749</v>
      </c>
      <c r="E91" s="2" t="s">
        <v>652</v>
      </c>
      <c r="F91" s="4" t="n">
        <v>0</v>
      </c>
      <c r="G91" s="5" t="n">
        <v>0</v>
      </c>
      <c r="H91" s="6" t="n">
        <f aca="false">F91*G91</f>
        <v>0</v>
      </c>
      <c r="I91" s="17" t="s">
        <v>652</v>
      </c>
      <c r="J91" s="8" t="n">
        <v>0</v>
      </c>
      <c r="K91" s="2" t="s">
        <v>35</v>
      </c>
      <c r="L91" s="8" t="n">
        <v>0</v>
      </c>
      <c r="M91" s="9" t="n">
        <v>0</v>
      </c>
      <c r="N91" s="2" t="str">
        <f aca="false">IF(L91=0,"None",IF(M91&gt;0.6,"High",IF(M91&gt;0.2,"Medium","Low")))</f>
        <v>None</v>
      </c>
      <c r="O91" s="10" t="n">
        <f aca="false">J91+(L91-J91)*M91</f>
        <v>0</v>
      </c>
      <c r="P91" s="2" t="s">
        <v>770</v>
      </c>
      <c r="Q91" s="2" t="s">
        <v>68</v>
      </c>
      <c r="R91" s="2" t="s">
        <v>771</v>
      </c>
      <c r="S91" s="2" t="s">
        <v>772</v>
      </c>
      <c r="T91" s="2" t="s">
        <v>40</v>
      </c>
      <c r="U91" s="11" t="s">
        <v>773</v>
      </c>
      <c r="V91" s="2"/>
      <c r="W91" s="2" t="s">
        <v>73</v>
      </c>
      <c r="X91" s="2" t="s">
        <v>774</v>
      </c>
      <c r="Y91" s="2" t="s">
        <v>45</v>
      </c>
      <c r="Z91" s="2" t="s">
        <v>759</v>
      </c>
      <c r="AA91" s="2" t="s">
        <v>775</v>
      </c>
      <c r="AB91" s="2" t="s">
        <v>776</v>
      </c>
      <c r="AC91" s="2" t="s">
        <v>49</v>
      </c>
    </row>
    <row r="92" customFormat="false" ht="32.8" hidden="false" customHeight="false" outlineLevel="0" collapsed="false">
      <c r="A92" s="2" t="s">
        <v>777</v>
      </c>
      <c r="B92" s="17" t="s">
        <v>747</v>
      </c>
      <c r="C92" s="2" t="s">
        <v>748</v>
      </c>
      <c r="D92" s="2" t="s">
        <v>749</v>
      </c>
      <c r="E92" s="2" t="s">
        <v>652</v>
      </c>
      <c r="F92" s="4" t="n">
        <v>0</v>
      </c>
      <c r="G92" s="5" t="n">
        <v>0</v>
      </c>
      <c r="H92" s="6" t="n">
        <f aca="false">F92*G92</f>
        <v>0</v>
      </c>
      <c r="I92" s="17" t="s">
        <v>652</v>
      </c>
      <c r="J92" s="8" t="n">
        <v>0</v>
      </c>
      <c r="K92" s="2" t="s">
        <v>54</v>
      </c>
      <c r="L92" s="8" t="n">
        <v>0</v>
      </c>
      <c r="M92" s="9" t="n">
        <v>0</v>
      </c>
      <c r="N92" s="2" t="str">
        <f aca="false">IF(L92=0,"None",IF(M92&gt;0.6,"High",IF(M92&gt;0.2,"Medium","Low")))</f>
        <v>None</v>
      </c>
      <c r="O92" s="10" t="n">
        <f aca="false">J92+(L92-J92)*M92</f>
        <v>0</v>
      </c>
      <c r="P92" s="2"/>
      <c r="Q92" s="2" t="s">
        <v>255</v>
      </c>
      <c r="R92" s="2" t="s">
        <v>778</v>
      </c>
      <c r="S92" s="2" t="s">
        <v>779</v>
      </c>
      <c r="T92" s="2" t="s">
        <v>40</v>
      </c>
      <c r="U92" s="11" t="s">
        <v>780</v>
      </c>
      <c r="V92" s="2" t="s">
        <v>781</v>
      </c>
      <c r="W92" s="2" t="s">
        <v>60</v>
      </c>
      <c r="X92" s="2" t="s">
        <v>61</v>
      </c>
      <c r="Y92" s="2" t="s">
        <v>45</v>
      </c>
      <c r="Z92" s="2" t="s">
        <v>46</v>
      </c>
      <c r="AA92" s="2" t="s">
        <v>782</v>
      </c>
      <c r="AB92" s="2" t="s">
        <v>783</v>
      </c>
      <c r="AC92" s="2" t="s">
        <v>652</v>
      </c>
    </row>
    <row r="93" customFormat="false" ht="22.35" hidden="false" customHeight="false" outlineLevel="0" collapsed="false">
      <c r="A93" s="2" t="s">
        <v>784</v>
      </c>
      <c r="B93" s="17" t="s">
        <v>747</v>
      </c>
      <c r="C93" s="2" t="s">
        <v>748</v>
      </c>
      <c r="D93" s="2" t="s">
        <v>749</v>
      </c>
      <c r="E93" s="2" t="s">
        <v>652</v>
      </c>
      <c r="F93" s="4" t="n">
        <v>0</v>
      </c>
      <c r="G93" s="5" t="n">
        <v>0</v>
      </c>
      <c r="H93" s="6" t="n">
        <f aca="false">F93*G93</f>
        <v>0</v>
      </c>
      <c r="I93" s="17" t="s">
        <v>652</v>
      </c>
      <c r="J93" s="8" t="n">
        <v>0</v>
      </c>
      <c r="K93" s="2" t="s">
        <v>54</v>
      </c>
      <c r="L93" s="8" t="n">
        <v>0</v>
      </c>
      <c r="M93" s="9" t="n">
        <v>0</v>
      </c>
      <c r="N93" s="2" t="str">
        <f aca="false">IF(L93=0,"None",IF(M93&gt;0.6,"High",IF(M93&gt;0.2,"Medium","Low")))</f>
        <v>None</v>
      </c>
      <c r="O93" s="10" t="n">
        <f aca="false">J93+(L93-J93)*M93</f>
        <v>0</v>
      </c>
      <c r="P93" s="2"/>
      <c r="Q93" s="2" t="s">
        <v>94</v>
      </c>
      <c r="R93" s="2" t="s">
        <v>785</v>
      </c>
      <c r="S93" s="2" t="s">
        <v>786</v>
      </c>
      <c r="T93" s="2" t="s">
        <v>40</v>
      </c>
      <c r="U93" s="11" t="s">
        <v>787</v>
      </c>
      <c r="V93" s="2" t="s">
        <v>788</v>
      </c>
      <c r="W93" s="2" t="s">
        <v>73</v>
      </c>
      <c r="X93" s="2" t="s">
        <v>789</v>
      </c>
      <c r="Y93" s="2" t="s">
        <v>45</v>
      </c>
      <c r="Z93" s="2" t="s">
        <v>46</v>
      </c>
      <c r="AA93" s="2" t="s">
        <v>790</v>
      </c>
      <c r="AB93" s="2" t="s">
        <v>791</v>
      </c>
      <c r="AC93" s="2" t="s">
        <v>652</v>
      </c>
    </row>
    <row r="94" customFormat="false" ht="22.35" hidden="false" customHeight="false" outlineLevel="0" collapsed="false">
      <c r="A94" s="2" t="s">
        <v>792</v>
      </c>
      <c r="B94" s="17" t="s">
        <v>747</v>
      </c>
      <c r="C94" s="2" t="s">
        <v>748</v>
      </c>
      <c r="D94" s="2" t="s">
        <v>749</v>
      </c>
      <c r="E94" s="2" t="s">
        <v>652</v>
      </c>
      <c r="F94" s="4" t="n">
        <v>0</v>
      </c>
      <c r="G94" s="5" t="n">
        <v>0</v>
      </c>
      <c r="H94" s="6" t="n">
        <f aca="false">F94*G94</f>
        <v>0</v>
      </c>
      <c r="I94" s="17" t="s">
        <v>652</v>
      </c>
      <c r="J94" s="8" t="n">
        <v>0</v>
      </c>
      <c r="K94" s="2" t="s">
        <v>54</v>
      </c>
      <c r="L94" s="8" t="n">
        <v>0</v>
      </c>
      <c r="M94" s="9" t="n">
        <v>0</v>
      </c>
      <c r="N94" s="2" t="str">
        <f aca="false">IF(L94=0,"None",IF(M94&gt;0.6,"High",IF(M94&gt;0.2,"Medium","Low")))</f>
        <v>None</v>
      </c>
      <c r="O94" s="10" t="n">
        <f aca="false">J94+(L94-J94)*M94</f>
        <v>0</v>
      </c>
      <c r="P94" s="2"/>
      <c r="Q94" s="2" t="s">
        <v>94</v>
      </c>
      <c r="R94" s="2" t="s">
        <v>793</v>
      </c>
      <c r="S94" s="2" t="s">
        <v>85</v>
      </c>
      <c r="T94" s="2" t="s">
        <v>86</v>
      </c>
      <c r="U94" s="11" t="s">
        <v>794</v>
      </c>
      <c r="V94" s="2" t="s">
        <v>795</v>
      </c>
      <c r="W94" s="2" t="s">
        <v>60</v>
      </c>
      <c r="X94" s="2" t="s">
        <v>61</v>
      </c>
      <c r="Y94" s="2" t="s">
        <v>89</v>
      </c>
      <c r="Z94" s="2" t="s">
        <v>205</v>
      </c>
      <c r="AA94" s="2"/>
      <c r="AB94" s="2" t="s">
        <v>796</v>
      </c>
      <c r="AC94" s="2" t="s">
        <v>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70"/>
  </cols>
  <sheetData>
    <row r="1" customFormat="false" ht="43.25" hidden="false" customHeight="false" outlineLevel="0" collapsed="false">
      <c r="A1" s="18" t="s">
        <v>797</v>
      </c>
      <c r="B1" s="18"/>
      <c r="C1" s="18"/>
      <c r="D1" s="18"/>
      <c r="E1" s="18"/>
      <c r="F1" s="18"/>
      <c r="G1" s="18"/>
      <c r="H1" s="18"/>
    </row>
    <row r="2" customFormat="false" ht="43.25" hidden="false" customHeight="false" outlineLevel="0" collapsed="false">
      <c r="A2" s="1" t="s">
        <v>8</v>
      </c>
      <c r="B2" s="1" t="s">
        <v>798</v>
      </c>
      <c r="C2" s="1" t="s">
        <v>799</v>
      </c>
      <c r="D2" s="1" t="s">
        <v>800</v>
      </c>
      <c r="E2" s="1" t="s">
        <v>801</v>
      </c>
      <c r="F2" s="1" t="s">
        <v>802</v>
      </c>
      <c r="G2" s="1"/>
      <c r="H2" s="1"/>
    </row>
    <row r="3" customFormat="false" ht="22.35" hidden="false" customHeight="false" outlineLevel="0" collapsed="false">
      <c r="A3" s="2" t="s">
        <v>34</v>
      </c>
      <c r="B3" s="2" t="s">
        <v>803</v>
      </c>
      <c r="C3" s="2" t="n">
        <f aca="false">COUNTIF('Data Sources'!$I$2:$I$94,A3)</f>
        <v>30</v>
      </c>
      <c r="D3" s="10" t="n">
        <f aca="false">SUMIFS('Data Sources'!$J$2:$J$94,'Data Sources'!$I$2:$I$94,A3)</f>
        <v>0</v>
      </c>
      <c r="E3" s="10" t="n">
        <f aca="false">SUMIFS('Data Sources'!$L$2:$L$94,'Data Sources'!$I$2:$I$94,A3)</f>
        <v>0</v>
      </c>
      <c r="F3" s="10" t="n">
        <f aca="false">SUMIFS('Data Sources'!$O$2:$O$94,'Data Sources'!$I$2:$I$94,A3)</f>
        <v>0</v>
      </c>
      <c r="G3" s="2"/>
      <c r="H3" s="2"/>
    </row>
    <row r="4" customFormat="false" ht="22.35" hidden="false" customHeight="false" outlineLevel="0" collapsed="false">
      <c r="A4" s="2" t="s">
        <v>53</v>
      </c>
      <c r="B4" s="2" t="s">
        <v>804</v>
      </c>
      <c r="C4" s="2" t="n">
        <f aca="false">COUNTIF('Data Sources'!$I$2:$I$94,A4)</f>
        <v>33</v>
      </c>
      <c r="D4" s="10" t="n">
        <f aca="false">SUMIFS('Data Sources'!$J$2:$J$94,'Data Sources'!$I$2:$I$94,A4)</f>
        <v>0</v>
      </c>
      <c r="E4" s="10" t="n">
        <f aca="false">SUMIFS('Data Sources'!$L$2:$L$94,'Data Sources'!$I$2:$I$94,A4)</f>
        <v>0</v>
      </c>
      <c r="F4" s="10" t="n">
        <f aca="false">SUMIFS('Data Sources'!$O$2:$O$94,'Data Sources'!$I$2:$I$94,A4)</f>
        <v>0</v>
      </c>
      <c r="G4" s="2"/>
      <c r="H4" s="2"/>
    </row>
    <row r="5" customFormat="false" ht="15" hidden="false" customHeight="false" outlineLevel="0" collapsed="false">
      <c r="A5" s="2" t="s">
        <v>125</v>
      </c>
      <c r="B5" s="2" t="s">
        <v>805</v>
      </c>
      <c r="C5" s="2" t="n">
        <f aca="false">COUNTIF('Data Sources'!$I$2:$I$94,A5)</f>
        <v>24</v>
      </c>
      <c r="D5" s="10" t="n">
        <f aca="false">SUMIFS('Data Sources'!$J$2:$J$94,'Data Sources'!$I$2:$I$94,A5)</f>
        <v>0</v>
      </c>
      <c r="E5" s="10" t="n">
        <f aca="false">SUMIFS('Data Sources'!$L$2:$L$94,'Data Sources'!$I$2:$I$94,A5)</f>
        <v>0</v>
      </c>
      <c r="F5" s="10" t="n">
        <f aca="false">SUMIFS('Data Sources'!$O$2:$O$94,'Data Sources'!$I$2:$I$94,A5)</f>
        <v>0</v>
      </c>
      <c r="G5" s="2"/>
      <c r="H5" s="2"/>
    </row>
    <row r="6" customFormat="false" ht="15" hidden="false" customHeight="false" outlineLevel="0" collapsed="false">
      <c r="A6" s="19" t="s">
        <v>806</v>
      </c>
      <c r="B6" s="19"/>
      <c r="C6" s="19" t="n">
        <f aca="false">SUM(C3:C5)</f>
        <v>87</v>
      </c>
      <c r="D6" s="20" t="n">
        <f aca="false">SUM(D3:D5)</f>
        <v>0</v>
      </c>
      <c r="E6" s="20" t="n">
        <f aca="false">SUM(E3:E5)</f>
        <v>0</v>
      </c>
      <c r="F6" s="20" t="n">
        <f aca="false">SUM(F3:F5)</f>
        <v>0</v>
      </c>
      <c r="G6" s="19"/>
      <c r="H6" s="19"/>
    </row>
    <row r="7" customFormat="false" ht="15" hidden="false" customHeight="false" outlineLevel="0" collapsed="false">
      <c r="A7" s="21"/>
      <c r="B7" s="21"/>
      <c r="C7" s="21"/>
      <c r="D7" s="21"/>
      <c r="E7" s="21"/>
      <c r="F7" s="21"/>
      <c r="G7" s="21"/>
      <c r="H7" s="21"/>
    </row>
    <row r="8" customFormat="false" ht="85.05" hidden="false" customHeight="false" outlineLevel="0" collapsed="false">
      <c r="A8" s="18" t="s">
        <v>807</v>
      </c>
      <c r="B8" s="18"/>
      <c r="C8" s="18"/>
      <c r="D8" s="18"/>
      <c r="E8" s="18"/>
      <c r="F8" s="18"/>
      <c r="G8" s="18"/>
      <c r="H8" s="18"/>
    </row>
    <row r="9" customFormat="false" ht="22.35" hidden="false" customHeight="false" outlineLevel="0" collapsed="false">
      <c r="A9" s="1" t="s">
        <v>0</v>
      </c>
      <c r="B9" s="1" t="s">
        <v>18</v>
      </c>
      <c r="C9" s="1" t="s">
        <v>8</v>
      </c>
      <c r="D9" s="1" t="s">
        <v>808</v>
      </c>
      <c r="E9" s="1" t="s">
        <v>809</v>
      </c>
      <c r="F9" s="1"/>
      <c r="G9" s="1"/>
      <c r="H9" s="1" t="s">
        <v>810</v>
      </c>
    </row>
    <row r="10" customFormat="false" ht="22.35" hidden="false" customHeight="false" outlineLevel="0" collapsed="false">
      <c r="A10" s="2" t="s">
        <v>762</v>
      </c>
      <c r="B10" s="2" t="s">
        <v>79</v>
      </c>
      <c r="C10" s="7" t="s">
        <v>34</v>
      </c>
      <c r="D10" s="10" t="s">
        <v>811</v>
      </c>
      <c r="E10" s="22" t="n">
        <v>59</v>
      </c>
      <c r="F10" s="10"/>
      <c r="G10" s="10"/>
      <c r="H10" s="2" t="s">
        <v>763</v>
      </c>
    </row>
    <row r="11" customFormat="false" ht="22.35" hidden="false" customHeight="false" outlineLevel="0" collapsed="false">
      <c r="A11" s="2" t="s">
        <v>324</v>
      </c>
      <c r="B11" s="2" t="s">
        <v>330</v>
      </c>
      <c r="C11" s="7" t="s">
        <v>34</v>
      </c>
      <c r="D11" s="10" t="s">
        <v>812</v>
      </c>
      <c r="E11" s="22" t="n">
        <v>29</v>
      </c>
      <c r="F11" s="10"/>
      <c r="G11" s="10"/>
      <c r="H11" s="2" t="s">
        <v>328</v>
      </c>
    </row>
    <row r="12" customFormat="false" ht="15" hidden="false" customHeight="false" outlineLevel="0" collapsed="false">
      <c r="A12" s="2" t="s">
        <v>746</v>
      </c>
      <c r="B12" s="2" t="s">
        <v>752</v>
      </c>
      <c r="C12" s="12" t="s">
        <v>53</v>
      </c>
      <c r="D12" s="10" t="s">
        <v>813</v>
      </c>
      <c r="E12" s="22" t="n">
        <v>25</v>
      </c>
      <c r="F12" s="10"/>
      <c r="G12" s="10"/>
      <c r="H12" s="2" t="s">
        <v>750</v>
      </c>
    </row>
    <row r="13" customFormat="false" ht="15" hidden="false" customHeight="false" outlineLevel="0" collapsed="false">
      <c r="A13" s="2" t="s">
        <v>64</v>
      </c>
      <c r="B13" s="2" t="s">
        <v>70</v>
      </c>
      <c r="C13" s="12" t="s">
        <v>53</v>
      </c>
      <c r="D13" s="10" t="s">
        <v>814</v>
      </c>
      <c r="E13" s="22" t="n">
        <v>49.99</v>
      </c>
      <c r="F13" s="10"/>
      <c r="G13" s="10"/>
      <c r="H13" s="2" t="s">
        <v>67</v>
      </c>
    </row>
    <row r="14" customFormat="false" ht="15" hidden="false" customHeight="false" outlineLevel="0" collapsed="false">
      <c r="A14" s="2" t="s">
        <v>29</v>
      </c>
      <c r="B14" s="2" t="s">
        <v>39</v>
      </c>
      <c r="C14" s="13" t="s">
        <v>125</v>
      </c>
      <c r="D14" s="10" t="s">
        <v>815</v>
      </c>
      <c r="E14" s="22" t="n">
        <v>99</v>
      </c>
      <c r="F14" s="10"/>
      <c r="G14" s="10"/>
      <c r="H14" s="2" t="s">
        <v>36</v>
      </c>
    </row>
    <row r="15" customFormat="false" ht="15" hidden="false" customHeight="false" outlineLevel="0" collapsed="false">
      <c r="A15" s="2" t="s">
        <v>769</v>
      </c>
      <c r="B15" s="2" t="s">
        <v>772</v>
      </c>
      <c r="C15" s="13" t="s">
        <v>125</v>
      </c>
      <c r="D15" s="10" t="s">
        <v>816</v>
      </c>
      <c r="E15" s="22" t="n">
        <v>449</v>
      </c>
      <c r="F15" s="10"/>
      <c r="G15" s="10"/>
      <c r="H15" s="2" t="s">
        <v>770</v>
      </c>
    </row>
    <row r="16" customFormat="false" ht="15" hidden="false" customHeight="false" outlineLevel="0" collapsed="false">
      <c r="A16" s="2" t="s">
        <v>113</v>
      </c>
      <c r="B16" s="2" t="s">
        <v>117</v>
      </c>
      <c r="C16" s="12" t="s">
        <v>53</v>
      </c>
      <c r="D16" s="10" t="s">
        <v>817</v>
      </c>
      <c r="E16" s="22" t="n">
        <v>5</v>
      </c>
      <c r="F16" s="10"/>
      <c r="G16" s="10"/>
      <c r="H16" s="2" t="s">
        <v>114</v>
      </c>
    </row>
    <row r="17" customFormat="false" ht="15" hidden="false" customHeight="false" outlineLevel="0" collapsed="false">
      <c r="A17" s="2" t="s">
        <v>417</v>
      </c>
      <c r="B17" s="2" t="s">
        <v>420</v>
      </c>
      <c r="C17" s="13" t="s">
        <v>125</v>
      </c>
      <c r="D17" s="10" t="s">
        <v>818</v>
      </c>
      <c r="E17" s="22" t="n">
        <v>0</v>
      </c>
      <c r="F17" s="10"/>
      <c r="G17" s="10"/>
      <c r="H17" s="2" t="s">
        <v>418</v>
      </c>
    </row>
    <row r="18" customFormat="false" ht="32.8" hidden="false" customHeight="false" outlineLevel="0" collapsed="false">
      <c r="A18" s="19" t="s">
        <v>819</v>
      </c>
      <c r="B18" s="19"/>
      <c r="C18" s="19"/>
      <c r="D18" s="20"/>
      <c r="E18" s="20" t="n">
        <f aca="false">SUM(E10:E17)</f>
        <v>715.99</v>
      </c>
      <c r="F18" s="20"/>
      <c r="G18" s="20"/>
      <c r="H18" s="19"/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  <c r="G19" s="23"/>
      <c r="H19" s="23"/>
    </row>
    <row r="20" customFormat="false" ht="15" hidden="false" customHeight="false" outlineLevel="0" collapsed="false">
      <c r="A20" s="23" t="s">
        <v>820</v>
      </c>
      <c r="B20" s="23"/>
      <c r="C20" s="23"/>
      <c r="D20" s="23"/>
      <c r="E20" s="23"/>
      <c r="F20" s="23"/>
      <c r="G20" s="23"/>
      <c r="H20" s="23"/>
    </row>
    <row r="21" customFormat="false" ht="15" hidden="false" customHeight="false" outlineLevel="0" collapsed="false">
      <c r="A21" s="23" t="s">
        <v>821</v>
      </c>
      <c r="B21" s="23"/>
      <c r="C21" s="23"/>
      <c r="D21" s="23"/>
      <c r="E21" s="23"/>
      <c r="F21" s="23"/>
      <c r="G21" s="23"/>
      <c r="H21" s="23"/>
    </row>
    <row r="22" customFormat="false" ht="15" hidden="false" customHeight="false" outlineLevel="0" collapsed="false">
      <c r="A22" s="23" t="s">
        <v>822</v>
      </c>
      <c r="B22" s="23"/>
      <c r="C22" s="23"/>
      <c r="D22" s="23"/>
      <c r="E22" s="23"/>
      <c r="F22" s="23"/>
      <c r="G22" s="23"/>
      <c r="H22" s="23"/>
    </row>
    <row r="23" customFormat="false" ht="15" hidden="false" customHeight="false" outlineLevel="0" collapsed="false">
      <c r="A23" s="23" t="s">
        <v>823</v>
      </c>
      <c r="B23" s="23"/>
      <c r="C23" s="23"/>
      <c r="D23" s="23"/>
      <c r="E23" s="23"/>
      <c r="F23" s="23"/>
      <c r="G23" s="23"/>
      <c r="H23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40"/>
    <col collapsed="false" customWidth="true" hidden="false" outlineLevel="0" max="13" min="13" style="0" width="30"/>
  </cols>
  <sheetData>
    <row r="1" customFormat="false" ht="22.35" hidden="false" customHeight="false" outlineLevel="0" collapsed="false">
      <c r="A1" s="1" t="s">
        <v>824</v>
      </c>
      <c r="B1" s="1" t="s">
        <v>1</v>
      </c>
      <c r="C1" s="1" t="s">
        <v>825</v>
      </c>
      <c r="D1" s="1" t="s">
        <v>3</v>
      </c>
      <c r="E1" s="1" t="s">
        <v>4</v>
      </c>
      <c r="F1" s="1" t="s">
        <v>826</v>
      </c>
      <c r="G1" s="1" t="s">
        <v>827</v>
      </c>
      <c r="H1" s="1" t="s">
        <v>6</v>
      </c>
      <c r="I1" s="1" t="s">
        <v>828</v>
      </c>
      <c r="J1" s="1" t="s">
        <v>7</v>
      </c>
      <c r="K1" s="1" t="s">
        <v>829</v>
      </c>
      <c r="L1" s="1" t="s">
        <v>830</v>
      </c>
      <c r="M1" s="1" t="s">
        <v>28</v>
      </c>
    </row>
    <row r="2" customFormat="false" ht="22.35" hidden="false" customHeight="false" outlineLevel="0" collapsed="false">
      <c r="A2" s="2" t="s">
        <v>31</v>
      </c>
      <c r="B2" s="3" t="s">
        <v>30</v>
      </c>
      <c r="C2" s="2" t="s">
        <v>831</v>
      </c>
      <c r="D2" s="2" t="s">
        <v>32</v>
      </c>
      <c r="E2" s="2" t="s">
        <v>33</v>
      </c>
      <c r="F2" s="2" t="s">
        <v>832</v>
      </c>
      <c r="G2" s="2" t="s">
        <v>29</v>
      </c>
      <c r="H2" s="5" t="n">
        <v>145.916666666667</v>
      </c>
      <c r="I2" s="6" t="n">
        <f aca="false">SUMIFS('Data Sources'!$F$2:$F$94,'Data Sources'!$C$2:$C$94,A2)</f>
        <v>1</v>
      </c>
      <c r="J2" s="6" t="n">
        <f aca="false">SUMIFS('Data Sources'!$H$2:$H$94,'Data Sources'!$C$2:$C$94,A2)</f>
        <v>145.916666666667</v>
      </c>
      <c r="K2" s="24" t="n">
        <f aca="false">J2/30</f>
        <v>4.86388888888889</v>
      </c>
      <c r="L2" s="2" t="s">
        <v>833</v>
      </c>
      <c r="M2" s="2" t="s">
        <v>49</v>
      </c>
    </row>
    <row r="3" customFormat="false" ht="32.8" hidden="false" customHeight="false" outlineLevel="0" collapsed="false">
      <c r="A3" s="2" t="s">
        <v>51</v>
      </c>
      <c r="B3" s="3" t="s">
        <v>30</v>
      </c>
      <c r="C3" s="2" t="s">
        <v>834</v>
      </c>
      <c r="D3" s="2" t="s">
        <v>52</v>
      </c>
      <c r="E3" s="2" t="s">
        <v>52</v>
      </c>
      <c r="F3" s="2" t="s">
        <v>835</v>
      </c>
      <c r="G3" s="2" t="s">
        <v>836</v>
      </c>
      <c r="H3" s="5" t="n">
        <v>502</v>
      </c>
      <c r="I3" s="6" t="n">
        <f aca="false">SUMIFS('Data Sources'!$F$2:$F$94,'Data Sources'!$C$2:$C$94,A3)</f>
        <v>8</v>
      </c>
      <c r="J3" s="6" t="n">
        <f aca="false">SUMIFS('Data Sources'!$H$2:$H$94,'Data Sources'!$C$2:$C$94,A3)</f>
        <v>3848.66666666667</v>
      </c>
      <c r="K3" s="24" t="n">
        <f aca="false">J3/30</f>
        <v>128.288888888889</v>
      </c>
      <c r="L3" s="2" t="s">
        <v>837</v>
      </c>
      <c r="M3" s="2" t="s">
        <v>49</v>
      </c>
    </row>
    <row r="4" customFormat="false" ht="22.35" hidden="false" customHeight="false" outlineLevel="0" collapsed="false">
      <c r="A4" s="2" t="s">
        <v>101</v>
      </c>
      <c r="B4" s="3" t="s">
        <v>30</v>
      </c>
      <c r="C4" s="2" t="s">
        <v>838</v>
      </c>
      <c r="D4" s="2" t="s">
        <v>102</v>
      </c>
      <c r="E4" s="2" t="s">
        <v>103</v>
      </c>
      <c r="F4" s="2" t="s">
        <v>839</v>
      </c>
      <c r="G4" s="2" t="s">
        <v>840</v>
      </c>
      <c r="H4" s="5" t="n">
        <v>354.166666666667</v>
      </c>
      <c r="I4" s="6" t="n">
        <f aca="false">SUMIFS('Data Sources'!$F$2:$F$94,'Data Sources'!$C$2:$C$94,A4)</f>
        <v>9</v>
      </c>
      <c r="J4" s="6" t="n">
        <f aca="false">SUMIFS('Data Sources'!$H$2:$H$94,'Data Sources'!$C$2:$C$94,A4)</f>
        <v>3187.5</v>
      </c>
      <c r="K4" s="24" t="n">
        <f aca="false">J4/30</f>
        <v>106.25</v>
      </c>
      <c r="L4" s="2" t="s">
        <v>841</v>
      </c>
      <c r="M4" s="2" t="s">
        <v>112</v>
      </c>
    </row>
    <row r="5" customFormat="false" ht="15" hidden="false" customHeight="false" outlineLevel="0" collapsed="false">
      <c r="A5" s="2" t="s">
        <v>178</v>
      </c>
      <c r="B5" s="13" t="s">
        <v>177</v>
      </c>
      <c r="C5" s="2" t="s">
        <v>842</v>
      </c>
      <c r="D5" s="2" t="s">
        <v>179</v>
      </c>
      <c r="E5" s="2" t="s">
        <v>180</v>
      </c>
      <c r="F5" s="2" t="s">
        <v>843</v>
      </c>
      <c r="G5" s="2" t="s">
        <v>844</v>
      </c>
      <c r="H5" s="5" t="n">
        <v>20.8333333333333</v>
      </c>
      <c r="I5" s="6" t="n">
        <f aca="false">SUMIFS('Data Sources'!$F$2:$F$94,'Data Sources'!$C$2:$C$94,A5)</f>
        <v>17</v>
      </c>
      <c r="J5" s="6" t="n">
        <f aca="false">SUMIFS('Data Sources'!$H$2:$H$94,'Data Sources'!$C$2:$C$94,A5)</f>
        <v>354.166666666667</v>
      </c>
      <c r="K5" s="24" t="n">
        <f aca="false">J5/30</f>
        <v>11.8055555555556</v>
      </c>
      <c r="L5" s="2" t="s">
        <v>845</v>
      </c>
      <c r="M5" s="2" t="s">
        <v>112</v>
      </c>
    </row>
    <row r="6" customFormat="false" ht="22.35" hidden="false" customHeight="false" outlineLevel="0" collapsed="false">
      <c r="A6" s="2" t="s">
        <v>228</v>
      </c>
      <c r="B6" s="13" t="s">
        <v>177</v>
      </c>
      <c r="C6" s="2" t="s">
        <v>846</v>
      </c>
      <c r="D6" s="2" t="s">
        <v>229</v>
      </c>
      <c r="E6" s="2" t="s">
        <v>230</v>
      </c>
      <c r="F6" s="2" t="s">
        <v>847</v>
      </c>
      <c r="G6" s="2" t="s">
        <v>848</v>
      </c>
      <c r="H6" s="5" t="n">
        <v>20.8333333333333</v>
      </c>
      <c r="I6" s="6" t="n">
        <f aca="false">SUMIFS('Data Sources'!$F$2:$F$94,'Data Sources'!$C$2:$C$94,A6)</f>
        <v>15</v>
      </c>
      <c r="J6" s="6" t="n">
        <f aca="false">SUMIFS('Data Sources'!$H$2:$H$94,'Data Sources'!$C$2:$C$94,A6)</f>
        <v>312.5</v>
      </c>
      <c r="K6" s="24" t="n">
        <f aca="false">J6/30</f>
        <v>10.4166666666667</v>
      </c>
      <c r="L6" s="2" t="s">
        <v>849</v>
      </c>
      <c r="M6" s="2" t="s">
        <v>112</v>
      </c>
    </row>
    <row r="7" customFormat="false" ht="15" hidden="false" customHeight="false" outlineLevel="0" collapsed="false">
      <c r="A7" s="2" t="s">
        <v>316</v>
      </c>
      <c r="B7" s="13" t="s">
        <v>177</v>
      </c>
      <c r="C7" s="2" t="s">
        <v>850</v>
      </c>
      <c r="D7" s="2" t="s">
        <v>317</v>
      </c>
      <c r="E7" s="2" t="s">
        <v>318</v>
      </c>
      <c r="F7" s="2" t="s">
        <v>843</v>
      </c>
      <c r="G7" s="2" t="s">
        <v>315</v>
      </c>
      <c r="H7" s="5" t="n">
        <v>20.8333333333333</v>
      </c>
      <c r="I7" s="6" t="n">
        <f aca="false">SUMIFS('Data Sources'!$F$2:$F$94,'Data Sources'!$C$2:$C$94,A7)</f>
        <v>2</v>
      </c>
      <c r="J7" s="6" t="n">
        <f aca="false">SUMIFS('Data Sources'!$H$2:$H$94,'Data Sources'!$C$2:$C$94,A7)</f>
        <v>41.6666666666667</v>
      </c>
      <c r="K7" s="24" t="n">
        <f aca="false">J7/30</f>
        <v>1.38888888888889</v>
      </c>
      <c r="L7" s="2" t="s">
        <v>851</v>
      </c>
      <c r="M7" s="2" t="s">
        <v>112</v>
      </c>
    </row>
    <row r="8" customFormat="false" ht="22.35" hidden="false" customHeight="false" outlineLevel="0" collapsed="false">
      <c r="A8" s="2" t="s">
        <v>325</v>
      </c>
      <c r="B8" s="13" t="s">
        <v>177</v>
      </c>
      <c r="C8" s="2" t="s">
        <v>852</v>
      </c>
      <c r="D8" s="2" t="s">
        <v>326</v>
      </c>
      <c r="E8" s="2" t="s">
        <v>327</v>
      </c>
      <c r="F8" s="2" t="s">
        <v>853</v>
      </c>
      <c r="G8" s="2" t="s">
        <v>854</v>
      </c>
      <c r="H8" s="5" t="n">
        <v>20.75</v>
      </c>
      <c r="I8" s="6" t="n">
        <f aca="false">SUMIFS('Data Sources'!$F$2:$F$94,'Data Sources'!$C$2:$C$94,A8)</f>
        <v>15</v>
      </c>
      <c r="J8" s="6" t="n">
        <f aca="false">SUMIFS('Data Sources'!$H$2:$H$94,'Data Sources'!$C$2:$C$94,A8)</f>
        <v>311.25</v>
      </c>
      <c r="K8" s="24" t="n">
        <f aca="false">J8/30</f>
        <v>10.375</v>
      </c>
      <c r="L8" s="2" t="s">
        <v>855</v>
      </c>
      <c r="M8" s="2" t="s">
        <v>336</v>
      </c>
    </row>
    <row r="9" customFormat="false" ht="15" hidden="false" customHeight="false" outlineLevel="0" collapsed="false">
      <c r="A9" s="2" t="s">
        <v>375</v>
      </c>
      <c r="B9" s="13" t="s">
        <v>177</v>
      </c>
      <c r="C9" s="2" t="s">
        <v>856</v>
      </c>
      <c r="D9" s="2" t="s">
        <v>376</v>
      </c>
      <c r="E9" s="2" t="s">
        <v>377</v>
      </c>
      <c r="F9" s="2" t="s">
        <v>843</v>
      </c>
      <c r="G9" s="2" t="s">
        <v>857</v>
      </c>
      <c r="H9" s="5" t="n">
        <v>20.8333333333333</v>
      </c>
      <c r="I9" s="6" t="n">
        <f aca="false">SUMIFS('Data Sources'!$F$2:$F$94,'Data Sources'!$C$2:$C$94,A9)</f>
        <v>4</v>
      </c>
      <c r="J9" s="6" t="n">
        <f aca="false">SUMIFS('Data Sources'!$H$2:$H$94,'Data Sources'!$C$2:$C$94,A9)</f>
        <v>83.3333333333333</v>
      </c>
      <c r="K9" s="24" t="n">
        <f aca="false">J9/30</f>
        <v>2.77777777777778</v>
      </c>
      <c r="L9" s="2" t="s">
        <v>858</v>
      </c>
      <c r="M9" s="2" t="s">
        <v>112</v>
      </c>
    </row>
    <row r="10" customFormat="false" ht="22.35" hidden="false" customHeight="false" outlineLevel="0" collapsed="false">
      <c r="A10" s="2" t="s">
        <v>409</v>
      </c>
      <c r="B10" s="14" t="s">
        <v>408</v>
      </c>
      <c r="C10" s="2" t="s">
        <v>859</v>
      </c>
      <c r="D10" s="2" t="s">
        <v>410</v>
      </c>
      <c r="E10" s="2" t="s">
        <v>411</v>
      </c>
      <c r="F10" s="2" t="s">
        <v>860</v>
      </c>
      <c r="G10" s="2" t="s">
        <v>861</v>
      </c>
      <c r="H10" s="5" t="n">
        <v>4.33</v>
      </c>
      <c r="I10" s="6" t="n">
        <f aca="false">SUMIFS('Data Sources'!$F$2:$F$94,'Data Sources'!$C$2:$C$94,A10)</f>
        <v>15</v>
      </c>
      <c r="J10" s="6" t="n">
        <f aca="false">SUMIFS('Data Sources'!$H$2:$H$94,'Data Sources'!$C$2:$C$94,A10)</f>
        <v>64.95</v>
      </c>
      <c r="K10" s="24" t="n">
        <f aca="false">J10/30</f>
        <v>2.165</v>
      </c>
      <c r="L10" s="2" t="s">
        <v>862</v>
      </c>
      <c r="M10" s="2" t="s">
        <v>112</v>
      </c>
    </row>
    <row r="11" customFormat="false" ht="22.35" hidden="false" customHeight="false" outlineLevel="0" collapsed="false">
      <c r="A11" s="2" t="s">
        <v>541</v>
      </c>
      <c r="B11" s="15" t="s">
        <v>513</v>
      </c>
      <c r="C11" s="2" t="s">
        <v>863</v>
      </c>
      <c r="D11" s="2" t="s">
        <v>864</v>
      </c>
      <c r="E11" s="2" t="s">
        <v>865</v>
      </c>
      <c r="F11" s="2" t="s">
        <v>866</v>
      </c>
      <c r="G11" s="2" t="s">
        <v>867</v>
      </c>
      <c r="H11" s="5" t="n">
        <v>1</v>
      </c>
      <c r="I11" s="6" t="n">
        <f aca="false">SUMIFS('Data Sources'!$F$2:$F$94,'Data Sources'!$C$2:$C$94,A11)</f>
        <v>9</v>
      </c>
      <c r="J11" s="6" t="n">
        <f aca="false">SUMIFS('Data Sources'!$H$2:$H$94,'Data Sources'!$C$2:$C$94,A11)</f>
        <v>10</v>
      </c>
      <c r="K11" s="24" t="n">
        <f aca="false">J11/30</f>
        <v>0.333333333333333</v>
      </c>
      <c r="L11" s="2" t="s">
        <v>868</v>
      </c>
      <c r="M11" s="2" t="s">
        <v>549</v>
      </c>
    </row>
    <row r="12" customFormat="false" ht="22.35" hidden="false" customHeight="false" outlineLevel="0" collapsed="false">
      <c r="A12" s="2" t="s">
        <v>514</v>
      </c>
      <c r="B12" s="15" t="s">
        <v>513</v>
      </c>
      <c r="C12" s="2" t="s">
        <v>869</v>
      </c>
      <c r="D12" s="2" t="s">
        <v>515</v>
      </c>
      <c r="E12" s="2" t="s">
        <v>516</v>
      </c>
      <c r="F12" s="2" t="s">
        <v>870</v>
      </c>
      <c r="G12" s="2" t="s">
        <v>871</v>
      </c>
      <c r="H12" s="5" t="n">
        <v>1</v>
      </c>
      <c r="I12" s="6" t="n">
        <f aca="false">SUMIFS('Data Sources'!$F$2:$F$94,'Data Sources'!$C$2:$C$94,A12)</f>
        <v>1</v>
      </c>
      <c r="J12" s="6" t="n">
        <f aca="false">SUMIFS('Data Sources'!$H$2:$H$94,'Data Sources'!$C$2:$C$94,A12)</f>
        <v>1</v>
      </c>
      <c r="K12" s="24" t="n">
        <f aca="false">J12/30</f>
        <v>0.0333333333333333</v>
      </c>
      <c r="L12" s="2" t="s">
        <v>872</v>
      </c>
      <c r="M12" s="2" t="s">
        <v>112</v>
      </c>
    </row>
    <row r="13" customFormat="false" ht="22.35" hidden="false" customHeight="false" outlineLevel="0" collapsed="false">
      <c r="A13" s="2" t="s">
        <v>611</v>
      </c>
      <c r="B13" s="16" t="s">
        <v>610</v>
      </c>
      <c r="C13" s="2" t="s">
        <v>873</v>
      </c>
      <c r="D13" s="2" t="s">
        <v>874</v>
      </c>
      <c r="E13" s="2" t="s">
        <v>875</v>
      </c>
      <c r="F13" s="2" t="s">
        <v>876</v>
      </c>
      <c r="G13" s="2" t="s">
        <v>877</v>
      </c>
      <c r="H13" s="5" t="n">
        <v>0.33</v>
      </c>
      <c r="I13" s="6" t="n">
        <f aca="false">SUMIFS('Data Sources'!$F$2:$F$94,'Data Sources'!$C$2:$C$94,A13)</f>
        <v>4</v>
      </c>
      <c r="J13" s="6" t="n">
        <f aca="false">SUMIFS('Data Sources'!$H$2:$H$94,'Data Sources'!$C$2:$C$94,A13)</f>
        <v>1.66</v>
      </c>
      <c r="K13" s="24" t="n">
        <f aca="false">J13/30</f>
        <v>0.0553333333333333</v>
      </c>
      <c r="L13" s="2" t="s">
        <v>878</v>
      </c>
      <c r="M13" s="2" t="s">
        <v>49</v>
      </c>
    </row>
    <row r="14" customFormat="false" ht="22.35" hidden="false" customHeight="false" outlineLevel="0" collapsed="false">
      <c r="A14" s="2" t="s">
        <v>650</v>
      </c>
      <c r="B14" s="16" t="s">
        <v>649</v>
      </c>
      <c r="C14" s="2" t="s">
        <v>879</v>
      </c>
      <c r="D14" s="2" t="s">
        <v>651</v>
      </c>
      <c r="E14" s="2" t="s">
        <v>652</v>
      </c>
      <c r="F14" s="2" t="s">
        <v>880</v>
      </c>
      <c r="G14" s="2" t="s">
        <v>881</v>
      </c>
      <c r="H14" s="5" t="n">
        <v>0.0833333333333333</v>
      </c>
      <c r="I14" s="6" t="n">
        <f aca="false">SUMIFS('Data Sources'!$F$2:$F$94,'Data Sources'!$C$2:$C$94,A14)</f>
        <v>5</v>
      </c>
      <c r="J14" s="6" t="n">
        <f aca="false">SUMIFS('Data Sources'!$H$2:$H$94,'Data Sources'!$C$2:$C$94,A14)</f>
        <v>0.416666666666667</v>
      </c>
      <c r="K14" s="24" t="n">
        <f aca="false">J14/30</f>
        <v>0.0138888888888889</v>
      </c>
      <c r="L14" s="2" t="s">
        <v>882</v>
      </c>
      <c r="M14" s="2" t="s">
        <v>652</v>
      </c>
    </row>
    <row r="15" customFormat="false" ht="15" hidden="false" customHeight="false" outlineLevel="0" collapsed="false">
      <c r="A15" s="2" t="s">
        <v>685</v>
      </c>
      <c r="B15" s="17" t="s">
        <v>684</v>
      </c>
      <c r="C15" s="2" t="s">
        <v>883</v>
      </c>
      <c r="D15" s="2" t="s">
        <v>695</v>
      </c>
      <c r="E15" s="2" t="s">
        <v>652</v>
      </c>
      <c r="F15" s="2" t="s">
        <v>884</v>
      </c>
      <c r="G15" s="2" t="s">
        <v>885</v>
      </c>
      <c r="H15" s="5" t="n">
        <v>0</v>
      </c>
      <c r="I15" s="6" t="n">
        <f aca="false">SUMIFS('Data Sources'!$F$2:$F$94,'Data Sources'!$C$2:$C$94,A15)</f>
        <v>9</v>
      </c>
      <c r="J15" s="6" t="n">
        <f aca="false">SUMIFS('Data Sources'!$H$2:$H$94,'Data Sources'!$C$2:$C$94,A15)</f>
        <v>0</v>
      </c>
      <c r="K15" s="24" t="n">
        <f aca="false">J15/30</f>
        <v>0</v>
      </c>
      <c r="L15" s="2" t="s">
        <v>886</v>
      </c>
      <c r="M15" s="2" t="s">
        <v>652</v>
      </c>
    </row>
    <row r="16" customFormat="false" ht="15" hidden="false" customHeight="false" outlineLevel="0" collapsed="false">
      <c r="A16" s="2" t="s">
        <v>707</v>
      </c>
      <c r="B16" s="17" t="s">
        <v>706</v>
      </c>
      <c r="C16" s="2" t="s">
        <v>887</v>
      </c>
      <c r="D16" s="2" t="s">
        <v>708</v>
      </c>
      <c r="E16" s="2" t="s">
        <v>652</v>
      </c>
      <c r="F16" s="2" t="s">
        <v>888</v>
      </c>
      <c r="G16" s="2" t="s">
        <v>889</v>
      </c>
      <c r="H16" s="5" t="n">
        <v>0</v>
      </c>
      <c r="I16" s="6" t="n">
        <f aca="false">SUMIFS('Data Sources'!$F$2:$F$94,'Data Sources'!$C$2:$C$94,A16)</f>
        <v>15</v>
      </c>
      <c r="J16" s="6" t="n">
        <f aca="false">SUMIFS('Data Sources'!$H$2:$H$94,'Data Sources'!$C$2:$C$94,A16)</f>
        <v>0</v>
      </c>
      <c r="K16" s="24" t="n">
        <f aca="false">J16/30</f>
        <v>0</v>
      </c>
      <c r="L16" s="2" t="s">
        <v>890</v>
      </c>
      <c r="M16" s="2" t="s">
        <v>739</v>
      </c>
    </row>
    <row r="17" customFormat="false" ht="22.35" hidden="false" customHeight="false" outlineLevel="0" collapsed="false">
      <c r="A17" s="2" t="s">
        <v>748</v>
      </c>
      <c r="B17" s="17" t="s">
        <v>747</v>
      </c>
      <c r="C17" s="2" t="s">
        <v>891</v>
      </c>
      <c r="D17" s="2" t="s">
        <v>749</v>
      </c>
      <c r="E17" s="2" t="s">
        <v>652</v>
      </c>
      <c r="F17" s="2" t="s">
        <v>652</v>
      </c>
      <c r="G17" s="2" t="s">
        <v>892</v>
      </c>
      <c r="H17" s="5" t="n">
        <v>0</v>
      </c>
      <c r="I17" s="6" t="n">
        <f aca="false">SUMIFS('Data Sources'!$F$2:$F$94,'Data Sources'!$C$2:$C$94,A17)</f>
        <v>0</v>
      </c>
      <c r="J17" s="6" t="n">
        <f aca="false">SUMIFS('Data Sources'!$H$2:$H$94,'Data Sources'!$C$2:$C$94,A17)</f>
        <v>0</v>
      </c>
      <c r="K17" s="24" t="n">
        <f aca="false">J17/30</f>
        <v>0</v>
      </c>
      <c r="L17" s="2" t="s">
        <v>652</v>
      </c>
      <c r="M17" s="2" t="s">
        <v>652</v>
      </c>
    </row>
    <row r="18" customFormat="false" ht="15" hidden="false" customHeight="false" outlineLevel="0" collapsed="false">
      <c r="A18" s="19" t="s">
        <v>806</v>
      </c>
      <c r="B18" s="19"/>
      <c r="C18" s="19"/>
      <c r="D18" s="19"/>
      <c r="E18" s="19"/>
      <c r="F18" s="19"/>
      <c r="G18" s="19"/>
      <c r="H18" s="19"/>
      <c r="I18" s="19"/>
      <c r="J18" s="25" t="n">
        <f aca="false">SUM(J2:J17)</f>
        <v>8363.02666666667</v>
      </c>
      <c r="K18" s="26" t="n">
        <f aca="false">SUM(K2:K17)</f>
        <v>278.767555555556</v>
      </c>
      <c r="L18" s="19"/>
      <c r="M18" s="19"/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customFormat="false" ht="64.15" hidden="false" customHeight="false" outlineLevel="0" collapsed="false">
      <c r="A20" s="18" t="s">
        <v>893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customFormat="false" ht="15" hidden="false" customHeight="false" outlineLevel="0" collapsed="false">
      <c r="A21" s="1" t="s">
        <v>894</v>
      </c>
      <c r="B21" s="1" t="s">
        <v>895</v>
      </c>
      <c r="C21" s="1" t="s">
        <v>896</v>
      </c>
      <c r="D21" s="1" t="s">
        <v>897</v>
      </c>
      <c r="E21" s="1"/>
      <c r="F21" s="1"/>
      <c r="G21" s="1" t="s">
        <v>827</v>
      </c>
      <c r="H21" s="1"/>
      <c r="I21" s="1"/>
      <c r="J21" s="1"/>
      <c r="K21" s="1"/>
      <c r="L21" s="1"/>
      <c r="M21" s="1"/>
    </row>
    <row r="22" customFormat="false" ht="53.7" hidden="false" customHeight="false" outlineLevel="0" collapsed="false">
      <c r="A22" s="2" t="s">
        <v>898</v>
      </c>
      <c r="B22" s="2" t="s">
        <v>899</v>
      </c>
      <c r="C22" s="2" t="n">
        <v>9</v>
      </c>
      <c r="D22" s="2" t="s">
        <v>900</v>
      </c>
      <c r="E22" s="2"/>
      <c r="F22" s="2"/>
      <c r="G22" s="2" t="s">
        <v>901</v>
      </c>
      <c r="H22" s="2"/>
      <c r="I22" s="2"/>
      <c r="J22" s="2"/>
      <c r="K22" s="2"/>
      <c r="L22" s="2"/>
      <c r="M22" s="2"/>
    </row>
    <row r="23" customFormat="false" ht="32.8" hidden="false" customHeight="false" outlineLevel="0" collapsed="false">
      <c r="A23" s="2" t="s">
        <v>902</v>
      </c>
      <c r="B23" s="2" t="s">
        <v>903</v>
      </c>
      <c r="C23" s="2" t="n">
        <v>9</v>
      </c>
      <c r="D23" s="2" t="s">
        <v>900</v>
      </c>
      <c r="E23" s="2"/>
      <c r="F23" s="2"/>
      <c r="G23" s="2" t="s">
        <v>904</v>
      </c>
      <c r="H23" s="2"/>
      <c r="I23" s="2"/>
      <c r="J23" s="2"/>
      <c r="K23" s="2"/>
      <c r="L23" s="2"/>
      <c r="M23" s="2"/>
    </row>
    <row r="24" customFormat="false" ht="22.35" hidden="false" customHeight="false" outlineLevel="0" collapsed="false">
      <c r="A24" s="2" t="s">
        <v>905</v>
      </c>
      <c r="B24" s="2" t="s">
        <v>906</v>
      </c>
      <c r="C24" s="2" t="n">
        <v>1</v>
      </c>
      <c r="D24" s="2" t="s">
        <v>900</v>
      </c>
      <c r="E24" s="2"/>
      <c r="F24" s="2"/>
      <c r="G24" s="2" t="s">
        <v>907</v>
      </c>
      <c r="H24" s="2"/>
      <c r="I24" s="2"/>
      <c r="J24" s="2"/>
      <c r="K24" s="2"/>
      <c r="L24" s="2"/>
      <c r="M24" s="2"/>
    </row>
    <row r="25" customFormat="false" ht="32.8" hidden="false" customHeight="false" outlineLevel="0" collapsed="false">
      <c r="A25" s="2" t="s">
        <v>908</v>
      </c>
      <c r="B25" s="2" t="s">
        <v>909</v>
      </c>
      <c r="C25" s="2" t="n">
        <v>2</v>
      </c>
      <c r="D25" s="2" t="s">
        <v>900</v>
      </c>
      <c r="E25" s="2"/>
      <c r="F25" s="2"/>
      <c r="G25" s="2" t="s">
        <v>346</v>
      </c>
      <c r="H25" s="2"/>
      <c r="I25" s="2"/>
      <c r="J25" s="2"/>
      <c r="K25" s="2"/>
      <c r="L25" s="2"/>
      <c r="M25" s="2"/>
    </row>
    <row r="26" customFormat="false" ht="22.35" hidden="false" customHeight="false" outlineLevel="0" collapsed="false">
      <c r="A26" s="2" t="s">
        <v>710</v>
      </c>
      <c r="B26" s="2" t="s">
        <v>910</v>
      </c>
      <c r="C26" s="2" t="n">
        <v>16</v>
      </c>
      <c r="D26" s="2" t="s">
        <v>900</v>
      </c>
      <c r="E26" s="2"/>
      <c r="F26" s="2"/>
      <c r="G26" s="2" t="s">
        <v>64</v>
      </c>
      <c r="H26" s="2"/>
      <c r="I26" s="2"/>
      <c r="J26" s="2"/>
      <c r="K26" s="2"/>
      <c r="L26" s="2"/>
      <c r="M26" s="2"/>
    </row>
    <row r="27" customFormat="false" ht="22.35" hidden="false" customHeight="false" outlineLevel="0" collapsed="false">
      <c r="A27" s="2" t="s">
        <v>911</v>
      </c>
      <c r="B27" s="2" t="s">
        <v>912</v>
      </c>
      <c r="C27" s="2" t="n">
        <v>50</v>
      </c>
      <c r="D27" s="2" t="s">
        <v>900</v>
      </c>
      <c r="E27" s="2"/>
      <c r="F27" s="2"/>
      <c r="G27" s="2" t="s">
        <v>913</v>
      </c>
      <c r="H27" s="2"/>
      <c r="I27" s="2"/>
      <c r="J27" s="2"/>
      <c r="K27" s="2"/>
      <c r="L27" s="2"/>
      <c r="M27" s="2"/>
    </row>
    <row r="28" customFormat="false" ht="32.8" hidden="false" customHeight="false" outlineLevel="0" collapsed="false">
      <c r="A28" s="2" t="s">
        <v>914</v>
      </c>
      <c r="B28" s="2" t="s">
        <v>915</v>
      </c>
      <c r="C28" s="2" t="n">
        <v>2</v>
      </c>
      <c r="D28" s="2" t="s">
        <v>900</v>
      </c>
      <c r="E28" s="2"/>
      <c r="F28" s="2"/>
      <c r="G28" s="2" t="s">
        <v>916</v>
      </c>
      <c r="H28" s="2"/>
      <c r="I28" s="2"/>
      <c r="J28" s="2"/>
      <c r="K28" s="2"/>
      <c r="L28" s="2"/>
      <c r="M28" s="2"/>
    </row>
    <row r="29" customFormat="false" ht="22.35" hidden="false" customHeight="false" outlineLevel="0" collapsed="false">
      <c r="A29" s="2" t="s">
        <v>917</v>
      </c>
      <c r="B29" s="2" t="s">
        <v>918</v>
      </c>
      <c r="C29" s="2" t="n">
        <v>17</v>
      </c>
      <c r="D29" s="2" t="s">
        <v>919</v>
      </c>
      <c r="E29" s="2"/>
      <c r="F29" s="2"/>
      <c r="G29" s="2" t="s">
        <v>920</v>
      </c>
      <c r="H29" s="2"/>
      <c r="I29" s="2"/>
      <c r="J29" s="2"/>
      <c r="K29" s="2"/>
      <c r="L29" s="2"/>
      <c r="M29" s="2"/>
    </row>
    <row r="30" customFormat="false" ht="15" hidden="false" customHeight="false" outlineLevel="0" collapsed="false">
      <c r="A30" s="2" t="s">
        <v>197</v>
      </c>
      <c r="B30" s="2" t="s">
        <v>921</v>
      </c>
      <c r="C30" s="2" t="n">
        <v>14</v>
      </c>
      <c r="D30" s="2" t="s">
        <v>900</v>
      </c>
      <c r="E30" s="2"/>
      <c r="F30" s="2"/>
      <c r="G30" s="2" t="s">
        <v>922</v>
      </c>
      <c r="H30" s="2"/>
      <c r="I30" s="2"/>
      <c r="J30" s="2"/>
      <c r="K30" s="2"/>
      <c r="L30" s="2"/>
      <c r="M30" s="2"/>
    </row>
    <row r="31" customFormat="false" ht="22.35" hidden="false" customHeight="false" outlineLevel="0" collapsed="false">
      <c r="A31" s="2" t="s">
        <v>136</v>
      </c>
      <c r="B31" s="2" t="s">
        <v>923</v>
      </c>
      <c r="C31" s="2" t="n">
        <v>34</v>
      </c>
      <c r="D31" s="2" t="s">
        <v>900</v>
      </c>
      <c r="E31" s="2"/>
      <c r="F31" s="2"/>
      <c r="G31" s="2" t="s">
        <v>924</v>
      </c>
      <c r="H31" s="2"/>
      <c r="I31" s="2"/>
      <c r="J31" s="2"/>
      <c r="K31" s="2"/>
      <c r="L31" s="2"/>
      <c r="M31" s="2"/>
    </row>
    <row r="32" customFormat="false" ht="22.35" hidden="false" customHeight="false" outlineLevel="0" collapsed="false">
      <c r="A32" s="2" t="s">
        <v>925</v>
      </c>
      <c r="B32" s="2" t="s">
        <v>926</v>
      </c>
      <c r="C32" s="2" t="n">
        <v>1</v>
      </c>
      <c r="D32" s="2" t="s">
        <v>900</v>
      </c>
      <c r="E32" s="2"/>
      <c r="F32" s="2"/>
      <c r="G32" s="2" t="s">
        <v>927</v>
      </c>
      <c r="H32" s="2"/>
      <c r="I32" s="2"/>
      <c r="J32" s="2"/>
      <c r="K32" s="2"/>
      <c r="L32" s="2"/>
      <c r="M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5" min="4" style="0" width="5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928</v>
      </c>
      <c r="B1" s="1" t="s">
        <v>929</v>
      </c>
      <c r="C1" s="1" t="s">
        <v>930</v>
      </c>
      <c r="D1" s="1" t="s">
        <v>931</v>
      </c>
      <c r="E1" s="1" t="s">
        <v>932</v>
      </c>
      <c r="F1" s="1" t="s">
        <v>933</v>
      </c>
    </row>
    <row r="2" customFormat="false" ht="15" hidden="false" customHeight="false" outlineLevel="0" collapsed="false">
      <c r="A2" s="27" t="n">
        <v>46300</v>
      </c>
      <c r="B2" s="2" t="s">
        <v>934</v>
      </c>
      <c r="C2" s="15" t="s">
        <v>935</v>
      </c>
      <c r="D2" s="2" t="s">
        <v>936</v>
      </c>
      <c r="E2" s="2" t="s">
        <v>937</v>
      </c>
      <c r="F2" s="2" t="s">
        <v>938</v>
      </c>
    </row>
    <row r="3" customFormat="false" ht="15" hidden="false" customHeight="false" outlineLevel="0" collapsed="false">
      <c r="A3" s="27" t="n">
        <v>46301</v>
      </c>
      <c r="B3" s="2" t="s">
        <v>939</v>
      </c>
      <c r="C3" s="15" t="s">
        <v>935</v>
      </c>
      <c r="D3" s="2" t="s">
        <v>940</v>
      </c>
      <c r="E3" s="2" t="s">
        <v>937</v>
      </c>
      <c r="F3" s="2" t="s">
        <v>938</v>
      </c>
    </row>
    <row r="4" customFormat="false" ht="15" hidden="false" customHeight="false" outlineLevel="0" collapsed="false">
      <c r="A4" s="27" t="n">
        <v>46302</v>
      </c>
      <c r="B4" s="2" t="s">
        <v>941</v>
      </c>
      <c r="C4" s="15" t="s">
        <v>935</v>
      </c>
      <c r="D4" s="2" t="s">
        <v>942</v>
      </c>
      <c r="E4" s="2" t="s">
        <v>937</v>
      </c>
      <c r="F4" s="2" t="s">
        <v>938</v>
      </c>
    </row>
    <row r="5" customFormat="false" ht="22.35" hidden="false" customHeight="false" outlineLevel="0" collapsed="false">
      <c r="A5" s="27" t="n">
        <v>46305</v>
      </c>
      <c r="B5" s="2" t="s">
        <v>943</v>
      </c>
      <c r="C5" s="15" t="s">
        <v>935</v>
      </c>
      <c r="D5" s="2" t="s">
        <v>944</v>
      </c>
      <c r="E5" s="2" t="s">
        <v>945</v>
      </c>
      <c r="F5" s="2" t="s">
        <v>938</v>
      </c>
    </row>
    <row r="6" customFormat="false" ht="15" hidden="false" customHeight="false" outlineLevel="0" collapsed="false">
      <c r="A6" s="27" t="n">
        <v>46307</v>
      </c>
      <c r="B6" s="2" t="s">
        <v>934</v>
      </c>
      <c r="C6" s="13" t="s">
        <v>946</v>
      </c>
      <c r="D6" s="2" t="s">
        <v>947</v>
      </c>
      <c r="E6" s="2" t="s">
        <v>948</v>
      </c>
      <c r="F6" s="2" t="s">
        <v>949</v>
      </c>
    </row>
    <row r="7" customFormat="false" ht="15" hidden="false" customHeight="false" outlineLevel="0" collapsed="false">
      <c r="A7" s="27" t="n">
        <v>46307</v>
      </c>
      <c r="B7" s="2" t="s">
        <v>934</v>
      </c>
      <c r="C7" s="14" t="s">
        <v>950</v>
      </c>
      <c r="D7" s="2" t="s">
        <v>951</v>
      </c>
      <c r="E7" s="2" t="s">
        <v>952</v>
      </c>
      <c r="F7" s="2" t="s">
        <v>953</v>
      </c>
    </row>
    <row r="8" customFormat="false" ht="15" hidden="false" customHeight="false" outlineLevel="0" collapsed="false">
      <c r="A8" s="27" t="n">
        <v>46337</v>
      </c>
      <c r="B8" s="2" t="s">
        <v>941</v>
      </c>
      <c r="C8" s="13" t="s">
        <v>946</v>
      </c>
      <c r="D8" s="2" t="s">
        <v>954</v>
      </c>
      <c r="E8" s="2" t="s">
        <v>948</v>
      </c>
      <c r="F8" s="2" t="s">
        <v>949</v>
      </c>
    </row>
    <row r="9" customFormat="false" ht="15" hidden="false" customHeight="false" outlineLevel="0" collapsed="false">
      <c r="A9" s="27" t="n">
        <v>46337</v>
      </c>
      <c r="B9" s="2" t="s">
        <v>941</v>
      </c>
      <c r="C9" s="14" t="s">
        <v>950</v>
      </c>
      <c r="D9" s="2" t="s">
        <v>955</v>
      </c>
      <c r="E9" s="2" t="s">
        <v>956</v>
      </c>
      <c r="F9" s="2" t="s">
        <v>953</v>
      </c>
    </row>
    <row r="10" customFormat="false" ht="15" hidden="false" customHeight="false" outlineLevel="0" collapsed="false">
      <c r="A10" s="27" t="n">
        <v>46352</v>
      </c>
      <c r="B10" s="2" t="s">
        <v>957</v>
      </c>
      <c r="C10" s="13" t="s">
        <v>946</v>
      </c>
      <c r="D10" s="2" t="s">
        <v>958</v>
      </c>
      <c r="E10" s="2" t="s">
        <v>948</v>
      </c>
      <c r="F10" s="2" t="s">
        <v>949</v>
      </c>
    </row>
    <row r="11" customFormat="false" ht="15" hidden="false" customHeight="false" outlineLevel="0" collapsed="false">
      <c r="A11" s="27" t="n">
        <v>46352</v>
      </c>
      <c r="B11" s="2" t="s">
        <v>957</v>
      </c>
      <c r="C11" s="14" t="s">
        <v>950</v>
      </c>
      <c r="D11" s="2" t="s">
        <v>959</v>
      </c>
      <c r="E11" s="2" t="s">
        <v>956</v>
      </c>
      <c r="F11" s="2" t="s">
        <v>953</v>
      </c>
    </row>
    <row r="12" customFormat="false" ht="15" hidden="false" customHeight="false" outlineLevel="0" collapsed="false">
      <c r="A12" s="27" t="n">
        <v>46352</v>
      </c>
      <c r="B12" s="2" t="s">
        <v>957</v>
      </c>
      <c r="C12" s="3" t="s">
        <v>960</v>
      </c>
      <c r="D12" s="2" t="s">
        <v>961</v>
      </c>
      <c r="E12" s="2" t="s">
        <v>962</v>
      </c>
      <c r="F12" s="2" t="s">
        <v>963</v>
      </c>
    </row>
    <row r="13" customFormat="false" ht="15" hidden="false" customHeight="false" outlineLevel="0" collapsed="false">
      <c r="A13" s="27" t="n">
        <v>46353</v>
      </c>
      <c r="B13" s="2" t="s">
        <v>964</v>
      </c>
      <c r="C13" s="3" t="s">
        <v>960</v>
      </c>
      <c r="D13" s="2" t="s">
        <v>965</v>
      </c>
      <c r="E13" s="2" t="s">
        <v>966</v>
      </c>
      <c r="F13" s="2" t="s">
        <v>967</v>
      </c>
    </row>
    <row r="14" customFormat="false" ht="15" hidden="false" customHeight="false" outlineLevel="0" collapsed="false">
      <c r="A14" s="27" t="n">
        <v>46380</v>
      </c>
      <c r="B14" s="2" t="s">
        <v>957</v>
      </c>
      <c r="C14" s="3" t="s">
        <v>960</v>
      </c>
      <c r="D14" s="2" t="s">
        <v>965</v>
      </c>
      <c r="E14" s="2" t="s">
        <v>966</v>
      </c>
      <c r="F14" s="2" t="s">
        <v>967</v>
      </c>
    </row>
    <row r="15" customFormat="false" ht="15" hidden="false" customHeight="false" outlineLevel="0" collapsed="false">
      <c r="A15" s="27" t="n">
        <v>46381</v>
      </c>
      <c r="B15" s="2" t="s">
        <v>964</v>
      </c>
      <c r="C15" s="16" t="s">
        <v>968</v>
      </c>
      <c r="D15" s="2" t="s">
        <v>969</v>
      </c>
      <c r="E15" s="2" t="s">
        <v>970</v>
      </c>
      <c r="F15" s="2" t="s">
        <v>476</v>
      </c>
    </row>
    <row r="16" customFormat="false" ht="15" hidden="false" customHeight="false" outlineLevel="0" collapsed="false">
      <c r="A16" s="27" t="n">
        <v>46381</v>
      </c>
      <c r="B16" s="2" t="s">
        <v>964</v>
      </c>
      <c r="C16" s="13" t="s">
        <v>946</v>
      </c>
      <c r="D16" s="2" t="s">
        <v>971</v>
      </c>
      <c r="E16" s="2" t="s">
        <v>948</v>
      </c>
      <c r="F16" s="2" t="s">
        <v>949</v>
      </c>
    </row>
    <row r="17" customFormat="false" ht="15" hidden="false" customHeight="false" outlineLevel="0" collapsed="false">
      <c r="A17" s="27" t="n">
        <v>46381</v>
      </c>
      <c r="B17" s="2" t="s">
        <v>964</v>
      </c>
      <c r="C17" s="14" t="s">
        <v>950</v>
      </c>
      <c r="D17" s="2" t="s">
        <v>972</v>
      </c>
      <c r="E17" s="2" t="s">
        <v>956</v>
      </c>
      <c r="F17" s="2" t="s">
        <v>953</v>
      </c>
    </row>
    <row r="18" customFormat="false" ht="15" hidden="false" customHeight="false" outlineLevel="0" collapsed="false">
      <c r="A18" s="27" t="n">
        <v>46381</v>
      </c>
      <c r="B18" s="2" t="s">
        <v>964</v>
      </c>
      <c r="C18" s="3" t="s">
        <v>960</v>
      </c>
      <c r="D18" s="2" t="s">
        <v>973</v>
      </c>
      <c r="E18" s="2" t="s">
        <v>962</v>
      </c>
      <c r="F18" s="2" t="s">
        <v>963</v>
      </c>
    </row>
    <row r="19" customFormat="false" ht="22.35" hidden="false" customHeight="false" outlineLevel="0" collapsed="false">
      <c r="A19" s="27" t="n">
        <v>46388</v>
      </c>
      <c r="B19" s="2" t="s">
        <v>964</v>
      </c>
      <c r="C19" s="15" t="s">
        <v>935</v>
      </c>
      <c r="D19" s="2" t="s">
        <v>974</v>
      </c>
      <c r="E19" s="2" t="s">
        <v>937</v>
      </c>
      <c r="F19" s="2" t="s">
        <v>938</v>
      </c>
    </row>
    <row r="20" customFormat="false" ht="15" hidden="false" customHeight="false" outlineLevel="0" collapsed="false">
      <c r="A20" s="27" t="n">
        <v>46388</v>
      </c>
      <c r="B20" s="2" t="s">
        <v>964</v>
      </c>
      <c r="C20" s="16" t="s">
        <v>968</v>
      </c>
      <c r="D20" s="2" t="s">
        <v>975</v>
      </c>
      <c r="E20" s="2" t="s">
        <v>970</v>
      </c>
      <c r="F20" s="2" t="s">
        <v>476</v>
      </c>
    </row>
    <row r="21" customFormat="false" ht="15" hidden="false" customHeight="false" outlineLevel="0" collapsed="false">
      <c r="A21" s="27" t="n">
        <v>46388</v>
      </c>
      <c r="B21" s="2" t="s">
        <v>964</v>
      </c>
      <c r="C21" s="13" t="s">
        <v>946</v>
      </c>
      <c r="D21" s="2" t="s">
        <v>976</v>
      </c>
      <c r="E21" s="2" t="s">
        <v>948</v>
      </c>
      <c r="F21" s="2" t="s">
        <v>949</v>
      </c>
    </row>
    <row r="22" customFormat="false" ht="15" hidden="false" customHeight="false" outlineLevel="0" collapsed="false">
      <c r="A22" s="27" t="n">
        <v>46388</v>
      </c>
      <c r="B22" s="2" t="s">
        <v>964</v>
      </c>
      <c r="C22" s="14" t="s">
        <v>950</v>
      </c>
      <c r="D22" s="2" t="s">
        <v>977</v>
      </c>
      <c r="E22" s="2" t="s">
        <v>956</v>
      </c>
      <c r="F22" s="2" t="s">
        <v>953</v>
      </c>
    </row>
    <row r="23" customFormat="false" ht="15" hidden="false" customHeight="false" outlineLevel="0" collapsed="false">
      <c r="A23" s="27" t="n">
        <v>46388</v>
      </c>
      <c r="B23" s="2" t="s">
        <v>964</v>
      </c>
      <c r="C23" s="3" t="s">
        <v>960</v>
      </c>
      <c r="D23" s="2" t="s">
        <v>978</v>
      </c>
      <c r="E23" s="2" t="s">
        <v>962</v>
      </c>
      <c r="F23" s="2" t="s">
        <v>963</v>
      </c>
    </row>
    <row r="24" customFormat="false" ht="15" hidden="false" customHeight="false" outlineLevel="0" collapsed="false">
      <c r="A24" s="27" t="n">
        <v>46405</v>
      </c>
      <c r="B24" s="2" t="s">
        <v>934</v>
      </c>
      <c r="C24" s="13" t="s">
        <v>946</v>
      </c>
      <c r="D24" s="2" t="s">
        <v>979</v>
      </c>
      <c r="E24" s="2" t="s">
        <v>948</v>
      </c>
      <c r="F24" s="2" t="s">
        <v>949</v>
      </c>
    </row>
    <row r="25" customFormat="false" ht="15" hidden="false" customHeight="false" outlineLevel="0" collapsed="false">
      <c r="A25" s="27" t="n">
        <v>46405</v>
      </c>
      <c r="B25" s="2" t="s">
        <v>934</v>
      </c>
      <c r="C25" s="14" t="s">
        <v>950</v>
      </c>
      <c r="D25" s="2" t="s">
        <v>980</v>
      </c>
      <c r="E25" s="2" t="s">
        <v>952</v>
      </c>
      <c r="F25" s="2" t="s">
        <v>953</v>
      </c>
    </row>
    <row r="26" customFormat="false" ht="15" hidden="false" customHeight="false" outlineLevel="0" collapsed="false">
      <c r="A26" s="27" t="n">
        <v>46405</v>
      </c>
      <c r="B26" s="2" t="s">
        <v>934</v>
      </c>
      <c r="C26" s="3" t="s">
        <v>960</v>
      </c>
      <c r="D26" s="2" t="s">
        <v>981</v>
      </c>
      <c r="E26" s="2" t="s">
        <v>962</v>
      </c>
      <c r="F26" s="2" t="s">
        <v>963</v>
      </c>
    </row>
    <row r="27" customFormat="false" ht="22.35" hidden="false" customHeight="false" outlineLevel="0" collapsed="false">
      <c r="A27" s="27" t="n">
        <v>46423</v>
      </c>
      <c r="B27" s="2" t="s">
        <v>964</v>
      </c>
      <c r="C27" s="15" t="s">
        <v>935</v>
      </c>
      <c r="D27" s="2" t="s">
        <v>982</v>
      </c>
      <c r="E27" s="2" t="s">
        <v>937</v>
      </c>
      <c r="F27" s="2" t="s">
        <v>938</v>
      </c>
    </row>
    <row r="28" customFormat="false" ht="22.35" hidden="false" customHeight="false" outlineLevel="0" collapsed="false">
      <c r="A28" s="27" t="n">
        <v>46426</v>
      </c>
      <c r="B28" s="2" t="s">
        <v>934</v>
      </c>
      <c r="C28" s="15" t="s">
        <v>935</v>
      </c>
      <c r="D28" s="2" t="s">
        <v>983</v>
      </c>
      <c r="E28" s="2" t="s">
        <v>937</v>
      </c>
      <c r="F28" s="2" t="s">
        <v>938</v>
      </c>
    </row>
    <row r="29" customFormat="false" ht="22.35" hidden="false" customHeight="false" outlineLevel="0" collapsed="false">
      <c r="A29" s="27" t="n">
        <v>46427</v>
      </c>
      <c r="B29" s="2" t="s">
        <v>939</v>
      </c>
      <c r="C29" s="15" t="s">
        <v>935</v>
      </c>
      <c r="D29" s="2" t="s">
        <v>984</v>
      </c>
      <c r="E29" s="2" t="s">
        <v>937</v>
      </c>
      <c r="F29" s="2" t="s">
        <v>938</v>
      </c>
    </row>
    <row r="30" customFormat="false" ht="22.35" hidden="false" customHeight="false" outlineLevel="0" collapsed="false">
      <c r="A30" s="27" t="n">
        <v>46428</v>
      </c>
      <c r="B30" s="2" t="s">
        <v>941</v>
      </c>
      <c r="C30" s="15" t="s">
        <v>935</v>
      </c>
      <c r="D30" s="2" t="s">
        <v>984</v>
      </c>
      <c r="E30" s="2" t="s">
        <v>937</v>
      </c>
      <c r="F30" s="2" t="s">
        <v>938</v>
      </c>
    </row>
    <row r="31" customFormat="false" ht="15" hidden="false" customHeight="false" outlineLevel="0" collapsed="false">
      <c r="A31" s="27" t="n">
        <v>46433</v>
      </c>
      <c r="B31" s="2" t="s">
        <v>934</v>
      </c>
      <c r="C31" s="13" t="s">
        <v>946</v>
      </c>
      <c r="D31" s="2" t="s">
        <v>985</v>
      </c>
      <c r="E31" s="2" t="s">
        <v>948</v>
      </c>
      <c r="F31" s="2" t="s">
        <v>949</v>
      </c>
    </row>
    <row r="32" customFormat="false" ht="15" hidden="false" customHeight="false" outlineLevel="0" collapsed="false">
      <c r="A32" s="27" t="n">
        <v>46433</v>
      </c>
      <c r="B32" s="2" t="s">
        <v>934</v>
      </c>
      <c r="C32" s="14" t="s">
        <v>950</v>
      </c>
      <c r="D32" s="2" t="s">
        <v>986</v>
      </c>
      <c r="E32" s="2" t="s">
        <v>952</v>
      </c>
      <c r="F32" s="2" t="s">
        <v>953</v>
      </c>
    </row>
    <row r="33" customFormat="false" ht="15" hidden="false" customHeight="false" outlineLevel="0" collapsed="false">
      <c r="A33" s="27" t="n">
        <v>46433</v>
      </c>
      <c r="B33" s="2" t="s">
        <v>934</v>
      </c>
      <c r="C33" s="3" t="s">
        <v>960</v>
      </c>
      <c r="D33" s="2" t="s">
        <v>987</v>
      </c>
      <c r="E33" s="2" t="s">
        <v>962</v>
      </c>
      <c r="F33" s="2" t="s">
        <v>963</v>
      </c>
    </row>
    <row r="34" customFormat="false" ht="15" hidden="false" customHeight="false" outlineLevel="0" collapsed="false">
      <c r="A34" s="27" t="n">
        <v>46472</v>
      </c>
      <c r="B34" s="2" t="s">
        <v>964</v>
      </c>
      <c r="C34" s="16" t="s">
        <v>968</v>
      </c>
      <c r="D34" s="2" t="s">
        <v>988</v>
      </c>
      <c r="E34" s="2" t="s">
        <v>970</v>
      </c>
      <c r="F34" s="2" t="s">
        <v>476</v>
      </c>
    </row>
    <row r="35" customFormat="false" ht="15" hidden="false" customHeight="false" outlineLevel="0" collapsed="false">
      <c r="A35" s="27" t="n">
        <v>46472</v>
      </c>
      <c r="B35" s="2" t="s">
        <v>964</v>
      </c>
      <c r="C35" s="13" t="s">
        <v>946</v>
      </c>
      <c r="D35" s="2" t="s">
        <v>989</v>
      </c>
      <c r="E35" s="2" t="s">
        <v>948</v>
      </c>
      <c r="F35" s="2" t="s">
        <v>949</v>
      </c>
    </row>
    <row r="36" customFormat="false" ht="15" hidden="false" customHeight="false" outlineLevel="0" collapsed="false">
      <c r="A36" s="27" t="n">
        <v>46472</v>
      </c>
      <c r="B36" s="2" t="s">
        <v>964</v>
      </c>
      <c r="C36" s="3" t="s">
        <v>960</v>
      </c>
      <c r="D36" s="2" t="s">
        <v>990</v>
      </c>
      <c r="E36" s="2" t="s">
        <v>962</v>
      </c>
      <c r="F36" s="2" t="s">
        <v>963</v>
      </c>
    </row>
    <row r="37" customFormat="false" ht="15" hidden="false" customHeight="false" outlineLevel="0" collapsed="false">
      <c r="A37" s="27" t="n">
        <v>46475</v>
      </c>
      <c r="B37" s="2" t="s">
        <v>934</v>
      </c>
      <c r="C37" s="16" t="s">
        <v>968</v>
      </c>
      <c r="D37" s="2" t="s">
        <v>991</v>
      </c>
      <c r="E37" s="2" t="s">
        <v>992</v>
      </c>
      <c r="F37" s="2" t="s">
        <v>476</v>
      </c>
    </row>
    <row r="38" customFormat="false" ht="22.35" hidden="false" customHeight="false" outlineLevel="0" collapsed="false">
      <c r="A38" s="27" t="n">
        <v>46482</v>
      </c>
      <c r="B38" s="2" t="s">
        <v>934</v>
      </c>
      <c r="C38" s="15" t="s">
        <v>935</v>
      </c>
      <c r="D38" s="2" t="s">
        <v>993</v>
      </c>
      <c r="E38" s="2" t="s">
        <v>937</v>
      </c>
      <c r="F38" s="2" t="s">
        <v>938</v>
      </c>
    </row>
    <row r="39" customFormat="false" ht="15" hidden="false" customHeight="false" outlineLevel="0" collapsed="false">
      <c r="A39" s="27" t="n">
        <v>46504</v>
      </c>
      <c r="B39" s="2" t="s">
        <v>939</v>
      </c>
      <c r="C39" s="16" t="s">
        <v>968</v>
      </c>
      <c r="D39" s="2" t="s">
        <v>994</v>
      </c>
      <c r="E39" s="2" t="s">
        <v>970</v>
      </c>
      <c r="F39" s="2" t="s">
        <v>476</v>
      </c>
    </row>
    <row r="40" customFormat="false" ht="22.35" hidden="false" customHeight="false" outlineLevel="0" collapsed="false">
      <c r="A40" s="27" t="n">
        <v>46510</v>
      </c>
      <c r="B40" s="2" t="s">
        <v>934</v>
      </c>
      <c r="C40" s="15" t="s">
        <v>935</v>
      </c>
      <c r="D40" s="2" t="s">
        <v>995</v>
      </c>
      <c r="E40" s="2" t="s">
        <v>937</v>
      </c>
      <c r="F40" s="2" t="s">
        <v>938</v>
      </c>
    </row>
    <row r="41" customFormat="false" ht="22.35" hidden="false" customHeight="false" outlineLevel="0" collapsed="false">
      <c r="A41" s="27" t="n">
        <v>46511</v>
      </c>
      <c r="B41" s="2" t="s">
        <v>939</v>
      </c>
      <c r="C41" s="15" t="s">
        <v>935</v>
      </c>
      <c r="D41" s="2" t="s">
        <v>995</v>
      </c>
      <c r="E41" s="2" t="s">
        <v>937</v>
      </c>
      <c r="F41" s="2" t="s">
        <v>938</v>
      </c>
    </row>
    <row r="42" customFormat="false" ht="15" hidden="false" customHeight="false" outlineLevel="0" collapsed="false">
      <c r="A42" s="27" t="n">
        <v>46513</v>
      </c>
      <c r="B42" s="2" t="s">
        <v>957</v>
      </c>
      <c r="C42" s="16" t="s">
        <v>968</v>
      </c>
      <c r="D42" s="2" t="s">
        <v>996</v>
      </c>
      <c r="E42" s="2" t="s">
        <v>970</v>
      </c>
      <c r="F42" s="2" t="s">
        <v>476</v>
      </c>
    </row>
    <row r="43" customFormat="false" ht="15" hidden="false" customHeight="false" outlineLevel="0" collapsed="false">
      <c r="A43" s="27" t="n">
        <v>46524</v>
      </c>
      <c r="B43" s="2" t="s">
        <v>934</v>
      </c>
      <c r="C43" s="16" t="s">
        <v>968</v>
      </c>
      <c r="D43" s="2" t="s">
        <v>997</v>
      </c>
      <c r="E43" s="2" t="s">
        <v>992</v>
      </c>
      <c r="F43" s="2" t="s">
        <v>476</v>
      </c>
    </row>
    <row r="44" customFormat="false" ht="15" hidden="false" customHeight="false" outlineLevel="0" collapsed="false">
      <c r="A44" s="27" t="n">
        <v>46538</v>
      </c>
      <c r="B44" s="2" t="s">
        <v>934</v>
      </c>
      <c r="C44" s="13" t="s">
        <v>946</v>
      </c>
      <c r="D44" s="2" t="s">
        <v>998</v>
      </c>
      <c r="E44" s="2" t="s">
        <v>948</v>
      </c>
      <c r="F44" s="2" t="s">
        <v>949</v>
      </c>
    </row>
    <row r="45" customFormat="false" ht="15" hidden="false" customHeight="false" outlineLevel="0" collapsed="false">
      <c r="A45" s="27" t="n">
        <v>46538</v>
      </c>
      <c r="B45" s="2" t="s">
        <v>934</v>
      </c>
      <c r="C45" s="14" t="s">
        <v>950</v>
      </c>
      <c r="D45" s="2" t="s">
        <v>999</v>
      </c>
      <c r="E45" s="2" t="s">
        <v>952</v>
      </c>
      <c r="F45" s="2" t="s">
        <v>953</v>
      </c>
    </row>
    <row r="46" customFormat="false" ht="15" hidden="false" customHeight="false" outlineLevel="0" collapsed="false">
      <c r="A46" s="27" t="n">
        <v>46538</v>
      </c>
      <c r="B46" s="2" t="s">
        <v>934</v>
      </c>
      <c r="C46" s="3" t="s">
        <v>960</v>
      </c>
      <c r="D46" s="2" t="s">
        <v>1000</v>
      </c>
      <c r="E46" s="2" t="s">
        <v>962</v>
      </c>
      <c r="F46" s="2" t="s">
        <v>963</v>
      </c>
    </row>
    <row r="47" customFormat="false" ht="22.35" hidden="false" customHeight="false" outlineLevel="0" collapsed="false">
      <c r="A47" s="27" t="n">
        <v>46547</v>
      </c>
      <c r="B47" s="2" t="s">
        <v>941</v>
      </c>
      <c r="C47" s="15" t="s">
        <v>935</v>
      </c>
      <c r="D47" s="2" t="s">
        <v>1001</v>
      </c>
      <c r="E47" s="2" t="s">
        <v>937</v>
      </c>
      <c r="F47" s="2" t="s">
        <v>938</v>
      </c>
    </row>
    <row r="48" customFormat="false" ht="22.35" hidden="false" customHeight="false" outlineLevel="0" collapsed="false">
      <c r="A48" s="27" t="n">
        <v>46556</v>
      </c>
      <c r="B48" s="2" t="s">
        <v>964</v>
      </c>
      <c r="C48" s="13" t="s">
        <v>946</v>
      </c>
      <c r="D48" s="2" t="s">
        <v>1002</v>
      </c>
      <c r="E48" s="2" t="s">
        <v>948</v>
      </c>
      <c r="F48" s="2" t="s">
        <v>949</v>
      </c>
    </row>
    <row r="49" customFormat="false" ht="22.35" hidden="false" customHeight="false" outlineLevel="0" collapsed="false">
      <c r="A49" s="27" t="n">
        <v>46556</v>
      </c>
      <c r="B49" s="2" t="s">
        <v>964</v>
      </c>
      <c r="C49" s="14" t="s">
        <v>950</v>
      </c>
      <c r="D49" s="2" t="s">
        <v>1003</v>
      </c>
      <c r="E49" s="2" t="s">
        <v>956</v>
      </c>
      <c r="F49" s="2" t="s">
        <v>953</v>
      </c>
    </row>
    <row r="50" customFormat="false" ht="15" hidden="false" customHeight="false" outlineLevel="0" collapsed="false">
      <c r="A50" s="27" t="n">
        <v>46556</v>
      </c>
      <c r="B50" s="2" t="s">
        <v>964</v>
      </c>
      <c r="C50" s="3" t="s">
        <v>960</v>
      </c>
      <c r="D50" s="2" t="s">
        <v>1004</v>
      </c>
      <c r="E50" s="2" t="s">
        <v>962</v>
      </c>
      <c r="F50" s="2" t="s">
        <v>963</v>
      </c>
    </row>
    <row r="51" customFormat="false" ht="15" hidden="false" customHeight="false" outlineLevel="0" collapsed="false">
      <c r="A51" s="27" t="n">
        <v>46573</v>
      </c>
      <c r="B51" s="2" t="s">
        <v>934</v>
      </c>
      <c r="C51" s="13" t="s">
        <v>946</v>
      </c>
      <c r="D51" s="2" t="s">
        <v>1005</v>
      </c>
      <c r="E51" s="2" t="s">
        <v>948</v>
      </c>
      <c r="F51" s="2" t="s">
        <v>949</v>
      </c>
    </row>
    <row r="52" customFormat="false" ht="15" hidden="false" customHeight="false" outlineLevel="0" collapsed="false">
      <c r="A52" s="27" t="n">
        <v>46573</v>
      </c>
      <c r="B52" s="2" t="s">
        <v>934</v>
      </c>
      <c r="C52" s="14" t="s">
        <v>950</v>
      </c>
      <c r="D52" s="2" t="s">
        <v>1006</v>
      </c>
      <c r="E52" s="2" t="s">
        <v>952</v>
      </c>
      <c r="F52" s="2" t="s">
        <v>953</v>
      </c>
    </row>
    <row r="53" customFormat="false" ht="15" hidden="false" customHeight="false" outlineLevel="0" collapsed="false">
      <c r="A53" s="27" t="n">
        <v>46573</v>
      </c>
      <c r="B53" s="2" t="s">
        <v>934</v>
      </c>
      <c r="C53" s="3" t="s">
        <v>960</v>
      </c>
      <c r="D53" s="2" t="s">
        <v>1007</v>
      </c>
      <c r="E53" s="2" t="s">
        <v>962</v>
      </c>
      <c r="F53" s="2" t="s">
        <v>963</v>
      </c>
    </row>
    <row r="54" customFormat="false" ht="15" hidden="false" customHeight="false" outlineLevel="0" collapsed="false">
      <c r="A54" s="27" t="n">
        <v>46636</v>
      </c>
      <c r="B54" s="2" t="s">
        <v>934</v>
      </c>
      <c r="C54" s="13" t="s">
        <v>946</v>
      </c>
      <c r="D54" s="2" t="s">
        <v>1008</v>
      </c>
      <c r="E54" s="2" t="s">
        <v>948</v>
      </c>
      <c r="F54" s="2" t="s">
        <v>949</v>
      </c>
    </row>
    <row r="55" customFormat="false" ht="15" hidden="false" customHeight="false" outlineLevel="0" collapsed="false">
      <c r="A55" s="27" t="n">
        <v>46636</v>
      </c>
      <c r="B55" s="2" t="s">
        <v>934</v>
      </c>
      <c r="C55" s="14" t="s">
        <v>950</v>
      </c>
      <c r="D55" s="2" t="s">
        <v>1009</v>
      </c>
      <c r="E55" s="2" t="s">
        <v>952</v>
      </c>
      <c r="F55" s="2" t="s">
        <v>953</v>
      </c>
    </row>
    <row r="56" customFormat="false" ht="15" hidden="false" customHeight="false" outlineLevel="0" collapsed="false">
      <c r="A56" s="27" t="n">
        <v>46636</v>
      </c>
      <c r="B56" s="2" t="s">
        <v>934</v>
      </c>
      <c r="C56" s="3" t="s">
        <v>960</v>
      </c>
      <c r="D56" s="2" t="s">
        <v>1010</v>
      </c>
      <c r="E56" s="2" t="s">
        <v>962</v>
      </c>
      <c r="F56" s="2" t="s">
        <v>963</v>
      </c>
    </row>
    <row r="57" customFormat="false" ht="22.35" hidden="false" customHeight="false" outlineLevel="0" collapsed="false">
      <c r="A57" s="27" t="n">
        <v>46645</v>
      </c>
      <c r="B57" s="2" t="s">
        <v>941</v>
      </c>
      <c r="C57" s="15" t="s">
        <v>935</v>
      </c>
      <c r="D57" s="2" t="s">
        <v>1011</v>
      </c>
      <c r="E57" s="2" t="s">
        <v>937</v>
      </c>
      <c r="F57" s="2" t="s">
        <v>938</v>
      </c>
    </row>
    <row r="58" customFormat="false" ht="15" hidden="false" customHeight="false" outlineLevel="0" collapsed="false">
      <c r="A58" s="27" t="n">
        <v>46661</v>
      </c>
      <c r="B58" s="2" t="s">
        <v>964</v>
      </c>
      <c r="C58" s="15" t="s">
        <v>935</v>
      </c>
      <c r="D58" s="2" t="s">
        <v>1012</v>
      </c>
      <c r="E58" s="2" t="s">
        <v>937</v>
      </c>
      <c r="F58" s="2" t="s">
        <v>938</v>
      </c>
    </row>
    <row r="59" customFormat="false" ht="22.35" hidden="false" customHeight="false" outlineLevel="0" collapsed="false">
      <c r="A59" s="27" t="n">
        <v>46664</v>
      </c>
      <c r="B59" s="2" t="s">
        <v>934</v>
      </c>
      <c r="C59" s="15" t="s">
        <v>935</v>
      </c>
      <c r="D59" s="2" t="s">
        <v>1013</v>
      </c>
      <c r="E59" s="2" t="s">
        <v>937</v>
      </c>
      <c r="F59" s="2" t="s">
        <v>938</v>
      </c>
    </row>
    <row r="60" customFormat="false" ht="22.35" hidden="false" customHeight="false" outlineLevel="0" collapsed="false">
      <c r="A60" s="27" t="n">
        <v>46665</v>
      </c>
      <c r="B60" s="2" t="s">
        <v>939</v>
      </c>
      <c r="C60" s="15" t="s">
        <v>935</v>
      </c>
      <c r="D60" s="2" t="s">
        <v>1013</v>
      </c>
      <c r="E60" s="2" t="s">
        <v>937</v>
      </c>
      <c r="F60" s="2" t="s">
        <v>938</v>
      </c>
    </row>
    <row r="61" customFormat="false" ht="15" hidden="false" customHeight="false" outlineLevel="0" collapsed="false">
      <c r="A61" s="27" t="n">
        <v>46671</v>
      </c>
      <c r="B61" s="2" t="s">
        <v>934</v>
      </c>
      <c r="C61" s="13" t="s">
        <v>946</v>
      </c>
      <c r="D61" s="2" t="s">
        <v>947</v>
      </c>
      <c r="E61" s="2" t="s">
        <v>948</v>
      </c>
      <c r="F61" s="2" t="s">
        <v>949</v>
      </c>
    </row>
    <row r="62" customFormat="false" ht="15" hidden="false" customHeight="false" outlineLevel="0" collapsed="false">
      <c r="A62" s="27" t="n">
        <v>46671</v>
      </c>
      <c r="B62" s="2" t="s">
        <v>934</v>
      </c>
      <c r="C62" s="14" t="s">
        <v>950</v>
      </c>
      <c r="D62" s="2" t="s">
        <v>951</v>
      </c>
      <c r="E62" s="2" t="s">
        <v>952</v>
      </c>
      <c r="F62" s="2" t="s">
        <v>953</v>
      </c>
    </row>
    <row r="63" customFormat="false" ht="15" hidden="false" customHeight="false" outlineLevel="0" collapsed="false">
      <c r="A63" s="27" t="n">
        <v>46702</v>
      </c>
      <c r="B63" s="2" t="s">
        <v>957</v>
      </c>
      <c r="C63" s="13" t="s">
        <v>946</v>
      </c>
      <c r="D63" s="2" t="s">
        <v>954</v>
      </c>
      <c r="E63" s="2" t="s">
        <v>948</v>
      </c>
      <c r="F63" s="2" t="s">
        <v>949</v>
      </c>
    </row>
    <row r="64" customFormat="false" ht="15" hidden="false" customHeight="false" outlineLevel="0" collapsed="false">
      <c r="A64" s="27" t="n">
        <v>46702</v>
      </c>
      <c r="B64" s="2" t="s">
        <v>957</v>
      </c>
      <c r="C64" s="14" t="s">
        <v>950</v>
      </c>
      <c r="D64" s="2" t="s">
        <v>955</v>
      </c>
      <c r="E64" s="2" t="s">
        <v>956</v>
      </c>
      <c r="F64" s="2" t="s">
        <v>953</v>
      </c>
    </row>
    <row r="65" customFormat="false" ht="15" hidden="false" customHeight="false" outlineLevel="0" collapsed="false">
      <c r="A65" s="27" t="n">
        <v>46716</v>
      </c>
      <c r="B65" s="2" t="s">
        <v>957</v>
      </c>
      <c r="C65" s="13" t="s">
        <v>946</v>
      </c>
      <c r="D65" s="2" t="s">
        <v>958</v>
      </c>
      <c r="E65" s="2" t="s">
        <v>948</v>
      </c>
      <c r="F65" s="2" t="s">
        <v>949</v>
      </c>
    </row>
    <row r="66" customFormat="false" ht="15" hidden="false" customHeight="false" outlineLevel="0" collapsed="false">
      <c r="A66" s="27" t="n">
        <v>46716</v>
      </c>
      <c r="B66" s="2" t="s">
        <v>957</v>
      </c>
      <c r="C66" s="14" t="s">
        <v>950</v>
      </c>
      <c r="D66" s="2" t="s">
        <v>959</v>
      </c>
      <c r="E66" s="2" t="s">
        <v>956</v>
      </c>
      <c r="F66" s="2" t="s">
        <v>953</v>
      </c>
    </row>
    <row r="67" customFormat="false" ht="15" hidden="false" customHeight="false" outlineLevel="0" collapsed="false">
      <c r="A67" s="27" t="n">
        <v>46716</v>
      </c>
      <c r="B67" s="2" t="s">
        <v>957</v>
      </c>
      <c r="C67" s="3" t="s">
        <v>960</v>
      </c>
      <c r="D67" s="2" t="s">
        <v>961</v>
      </c>
      <c r="E67" s="2" t="s">
        <v>962</v>
      </c>
      <c r="F67" s="2" t="s">
        <v>963</v>
      </c>
    </row>
    <row r="68" customFormat="false" ht="15" hidden="false" customHeight="false" outlineLevel="0" collapsed="false">
      <c r="A68" s="27" t="n">
        <v>46717</v>
      </c>
      <c r="B68" s="2" t="s">
        <v>964</v>
      </c>
      <c r="C68" s="3" t="s">
        <v>960</v>
      </c>
      <c r="D68" s="2" t="s">
        <v>965</v>
      </c>
      <c r="E68" s="2" t="s">
        <v>966</v>
      </c>
      <c r="F68" s="2" t="s">
        <v>967</v>
      </c>
    </row>
    <row r="69" customFormat="false" ht="15" hidden="false" customHeight="false" outlineLevel="0" collapsed="false">
      <c r="A69" s="27" t="n">
        <v>46745</v>
      </c>
      <c r="B69" s="2" t="s">
        <v>964</v>
      </c>
      <c r="C69" s="13" t="s">
        <v>946</v>
      </c>
      <c r="D69" s="2" t="s">
        <v>1014</v>
      </c>
      <c r="E69" s="2" t="s">
        <v>948</v>
      </c>
      <c r="F69" s="2" t="s">
        <v>949</v>
      </c>
    </row>
    <row r="70" customFormat="false" ht="15" hidden="false" customHeight="false" outlineLevel="0" collapsed="false">
      <c r="A70" s="27" t="n">
        <v>46745</v>
      </c>
      <c r="B70" s="2" t="s">
        <v>964</v>
      </c>
      <c r="C70" s="14" t="s">
        <v>950</v>
      </c>
      <c r="D70" s="2" t="s">
        <v>1015</v>
      </c>
      <c r="E70" s="2" t="s">
        <v>956</v>
      </c>
      <c r="F70" s="2" t="s">
        <v>953</v>
      </c>
    </row>
    <row r="71" customFormat="false" ht="15" hidden="false" customHeight="false" outlineLevel="0" collapsed="false">
      <c r="A71" s="27" t="n">
        <v>46745</v>
      </c>
      <c r="B71" s="2" t="s">
        <v>964</v>
      </c>
      <c r="C71" s="3" t="s">
        <v>960</v>
      </c>
      <c r="D71" s="2" t="s">
        <v>1016</v>
      </c>
      <c r="E71" s="2" t="s">
        <v>962</v>
      </c>
      <c r="F71" s="2" t="s">
        <v>963</v>
      </c>
    </row>
    <row r="72" customFormat="false" ht="15" hidden="false" customHeight="false" outlineLevel="0" collapsed="false">
      <c r="A72" s="27" t="n">
        <v>46752</v>
      </c>
      <c r="B72" s="2" t="s">
        <v>964</v>
      </c>
      <c r="C72" s="13" t="s">
        <v>946</v>
      </c>
      <c r="D72" s="2" t="s">
        <v>1017</v>
      </c>
      <c r="E72" s="2" t="s">
        <v>948</v>
      </c>
      <c r="F72" s="2" t="s">
        <v>949</v>
      </c>
    </row>
    <row r="73" customFormat="false" ht="15" hidden="false" customHeight="false" outlineLevel="0" collapsed="false">
      <c r="A73" s="27" t="n">
        <v>46752</v>
      </c>
      <c r="B73" s="2" t="s">
        <v>964</v>
      </c>
      <c r="C73" s="14" t="s">
        <v>950</v>
      </c>
      <c r="D73" s="2" t="s">
        <v>1018</v>
      </c>
      <c r="E73" s="2" t="s">
        <v>956</v>
      </c>
      <c r="F73" s="2" t="s">
        <v>953</v>
      </c>
    </row>
    <row r="74" customFormat="false" ht="15" hidden="false" customHeight="false" outlineLevel="0" collapsed="false">
      <c r="A74" s="23"/>
      <c r="B74" s="23"/>
      <c r="C74" s="23"/>
      <c r="D74" s="23"/>
      <c r="E74" s="23"/>
      <c r="F74" s="23"/>
    </row>
    <row r="75" customFormat="false" ht="15" hidden="false" customHeight="false" outlineLevel="0" collapsed="false">
      <c r="A75" s="23" t="s">
        <v>1019</v>
      </c>
      <c r="B75" s="23"/>
      <c r="C75" s="23"/>
      <c r="D75" s="23"/>
      <c r="E75" s="23"/>
      <c r="F75" s="23"/>
    </row>
    <row r="76" customFormat="false" ht="15" hidden="false" customHeight="false" outlineLevel="0" collapsed="false">
      <c r="A76" s="23" t="s">
        <v>1020</v>
      </c>
      <c r="B76" s="23"/>
      <c r="C76" s="23"/>
      <c r="D76" s="23"/>
      <c r="E76" s="23"/>
      <c r="F76" s="23"/>
    </row>
    <row r="77" customFormat="false" ht="15" hidden="false" customHeight="false" outlineLevel="0" collapsed="false">
      <c r="A77" s="23" t="s">
        <v>1021</v>
      </c>
      <c r="B77" s="23"/>
      <c r="C77" s="23"/>
      <c r="D77" s="23"/>
      <c r="E77" s="23"/>
      <c r="F77" s="23"/>
    </row>
    <row r="78" customFormat="false" ht="15" hidden="false" customHeight="false" outlineLevel="0" collapsed="false">
      <c r="A78" s="23" t="s">
        <v>1022</v>
      </c>
      <c r="B78" s="23"/>
      <c r="C78" s="23"/>
      <c r="D78" s="23"/>
      <c r="E78" s="23"/>
      <c r="F78" s="23"/>
    </row>
    <row r="79" customFormat="false" ht="15" hidden="false" customHeight="false" outlineLevel="0" collapsed="false">
      <c r="A79" s="23" t="s">
        <v>1023</v>
      </c>
      <c r="B79" s="23"/>
      <c r="C79" s="23"/>
      <c r="D79" s="23"/>
      <c r="E79" s="23"/>
      <c r="F79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48"/>
    <col collapsed="false" customWidth="true" hidden="false" outlineLevel="0" max="5" min="5" style="0" width="34"/>
    <col collapsed="false" customWidth="true" hidden="false" outlineLevel="0" max="6" min="6" style="0" width="18"/>
  </cols>
  <sheetData>
    <row r="1" customFormat="false" ht="22.35" hidden="false" customHeight="false" outlineLevel="0" collapsed="false">
      <c r="A1" s="1" t="s">
        <v>1024</v>
      </c>
      <c r="B1" s="1" t="s">
        <v>1025</v>
      </c>
      <c r="C1" s="1" t="s">
        <v>1026</v>
      </c>
      <c r="D1" s="1" t="s">
        <v>1027</v>
      </c>
      <c r="E1" s="1" t="s">
        <v>824</v>
      </c>
      <c r="F1" s="1" t="s">
        <v>18</v>
      </c>
    </row>
    <row r="2" customFormat="false" ht="22.35" hidden="false" customHeight="false" outlineLevel="0" collapsed="false">
      <c r="A2" s="2" t="s">
        <v>1028</v>
      </c>
      <c r="B2" s="27" t="n">
        <v>46295</v>
      </c>
      <c r="C2" s="27" t="n">
        <v>46297</v>
      </c>
      <c r="D2" s="27" t="n">
        <v>46304</v>
      </c>
      <c r="E2" s="2" t="s">
        <v>1029</v>
      </c>
      <c r="F2" s="2" t="s">
        <v>596</v>
      </c>
    </row>
    <row r="3" customFormat="false" ht="22.35" hidden="false" customHeight="false" outlineLevel="0" collapsed="false">
      <c r="A3" s="2" t="s">
        <v>1028</v>
      </c>
      <c r="B3" s="27" t="n">
        <v>46310</v>
      </c>
      <c r="C3" s="27" t="n">
        <v>46314</v>
      </c>
      <c r="D3" s="27" t="n">
        <v>46321</v>
      </c>
      <c r="E3" s="2" t="s">
        <v>1029</v>
      </c>
      <c r="F3" s="2" t="s">
        <v>596</v>
      </c>
    </row>
    <row r="4" customFormat="false" ht="22.35" hidden="false" customHeight="false" outlineLevel="0" collapsed="false">
      <c r="A4" s="2" t="s">
        <v>1028</v>
      </c>
      <c r="B4" s="27" t="n">
        <v>46325</v>
      </c>
      <c r="C4" s="27" t="n">
        <v>46329</v>
      </c>
      <c r="D4" s="27" t="n">
        <v>46336</v>
      </c>
      <c r="E4" s="2" t="s">
        <v>1029</v>
      </c>
      <c r="F4" s="2" t="s">
        <v>596</v>
      </c>
    </row>
    <row r="5" customFormat="false" ht="22.35" hidden="false" customHeight="false" outlineLevel="0" collapsed="false">
      <c r="A5" s="2" t="s">
        <v>1028</v>
      </c>
      <c r="B5" s="27" t="n">
        <v>46339</v>
      </c>
      <c r="C5" s="27" t="n">
        <v>46343</v>
      </c>
      <c r="D5" s="27" t="n">
        <v>46350</v>
      </c>
      <c r="E5" s="2" t="s">
        <v>1029</v>
      </c>
      <c r="F5" s="2" t="s">
        <v>596</v>
      </c>
    </row>
    <row r="6" customFormat="false" ht="22.35" hidden="false" customHeight="false" outlineLevel="0" collapsed="false">
      <c r="A6" s="2" t="s">
        <v>1028</v>
      </c>
      <c r="B6" s="27" t="n">
        <v>46356</v>
      </c>
      <c r="C6" s="27" t="n">
        <v>46358</v>
      </c>
      <c r="D6" s="27" t="n">
        <v>46365</v>
      </c>
      <c r="E6" s="2" t="s">
        <v>1029</v>
      </c>
      <c r="F6" s="2" t="s">
        <v>596</v>
      </c>
    </row>
    <row r="7" customFormat="false" ht="22.35" hidden="false" customHeight="false" outlineLevel="0" collapsed="false">
      <c r="A7" s="2" t="s">
        <v>1028</v>
      </c>
      <c r="B7" s="27" t="n">
        <v>46371</v>
      </c>
      <c r="C7" s="27" t="n">
        <v>46373</v>
      </c>
      <c r="D7" s="27" t="n">
        <v>46380</v>
      </c>
      <c r="E7" s="2" t="s">
        <v>1029</v>
      </c>
      <c r="F7" s="2" t="s">
        <v>596</v>
      </c>
    </row>
    <row r="8" customFormat="false" ht="22.35" hidden="false" customHeight="false" outlineLevel="0" collapsed="false">
      <c r="A8" s="2" t="s">
        <v>1028</v>
      </c>
      <c r="B8" s="27" t="n">
        <v>46387</v>
      </c>
      <c r="C8" s="27" t="n">
        <v>46392</v>
      </c>
      <c r="D8" s="27" t="n">
        <v>46399</v>
      </c>
      <c r="E8" s="2" t="s">
        <v>1029</v>
      </c>
      <c r="F8" s="2" t="s">
        <v>596</v>
      </c>
    </row>
    <row r="9" customFormat="false" ht="22.35" hidden="false" customHeight="false" outlineLevel="0" collapsed="false">
      <c r="A9" s="2" t="s">
        <v>1030</v>
      </c>
      <c r="B9" s="2" t="s">
        <v>1031</v>
      </c>
      <c r="C9" s="2" t="s">
        <v>1031</v>
      </c>
      <c r="D9" s="2" t="s">
        <v>1032</v>
      </c>
      <c r="E9" s="2" t="s">
        <v>541</v>
      </c>
      <c r="F9" s="2" t="s">
        <v>596</v>
      </c>
    </row>
    <row r="10" customFormat="false" ht="22.35" hidden="false" customHeight="false" outlineLevel="0" collapsed="false">
      <c r="A10" s="2" t="s">
        <v>1033</v>
      </c>
      <c r="B10" s="2" t="s">
        <v>652</v>
      </c>
      <c r="C10" s="2" t="s">
        <v>652</v>
      </c>
      <c r="D10" s="2" t="s">
        <v>1034</v>
      </c>
      <c r="E10" s="2" t="s">
        <v>541</v>
      </c>
      <c r="F10" s="2" t="s">
        <v>1035</v>
      </c>
    </row>
    <row r="11" customFormat="false" ht="15" hidden="false" customHeight="false" outlineLevel="0" collapsed="false">
      <c r="A11" s="2" t="s">
        <v>1036</v>
      </c>
      <c r="B11" s="2" t="s">
        <v>1037</v>
      </c>
      <c r="C11" s="2" t="s">
        <v>652</v>
      </c>
      <c r="D11" s="2" t="s">
        <v>1038</v>
      </c>
      <c r="E11" s="2" t="s">
        <v>611</v>
      </c>
      <c r="F11" s="2" t="s">
        <v>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894</v>
      </c>
      <c r="B1" s="1" t="s">
        <v>1039</v>
      </c>
      <c r="C1" s="1" t="s">
        <v>1040</v>
      </c>
      <c r="D1" s="1" t="s">
        <v>1041</v>
      </c>
      <c r="E1" s="1" t="s">
        <v>16</v>
      </c>
    </row>
    <row r="2" customFormat="false" ht="15" hidden="false" customHeight="false" outlineLevel="0" collapsed="false">
      <c r="A2" s="2" t="s">
        <v>197</v>
      </c>
      <c r="B2" s="2" t="s">
        <v>1042</v>
      </c>
      <c r="C2" s="2" t="s">
        <v>1043</v>
      </c>
      <c r="D2" s="2" t="s">
        <v>177</v>
      </c>
      <c r="E2" s="2" t="s">
        <v>187</v>
      </c>
    </row>
    <row r="3" customFormat="false" ht="15" hidden="false" customHeight="false" outlineLevel="0" collapsed="false">
      <c r="A3" s="2" t="s">
        <v>197</v>
      </c>
      <c r="B3" s="2" t="s">
        <v>1044</v>
      </c>
      <c r="C3" s="2" t="s">
        <v>1045</v>
      </c>
      <c r="D3" s="2" t="s">
        <v>177</v>
      </c>
      <c r="E3" s="2" t="s">
        <v>187</v>
      </c>
    </row>
    <row r="4" customFormat="false" ht="15" hidden="false" customHeight="false" outlineLevel="0" collapsed="false">
      <c r="A4" s="2" t="s">
        <v>197</v>
      </c>
      <c r="B4" s="2" t="s">
        <v>1046</v>
      </c>
      <c r="C4" s="2" t="s">
        <v>1047</v>
      </c>
      <c r="D4" s="2" t="s">
        <v>177</v>
      </c>
      <c r="E4" s="2" t="s">
        <v>187</v>
      </c>
    </row>
    <row r="5" customFormat="false" ht="15" hidden="false" customHeight="false" outlineLevel="0" collapsed="false">
      <c r="A5" s="2" t="s">
        <v>197</v>
      </c>
      <c r="B5" s="2" t="s">
        <v>1048</v>
      </c>
      <c r="C5" s="2" t="s">
        <v>1049</v>
      </c>
      <c r="D5" s="2" t="s">
        <v>177</v>
      </c>
      <c r="E5" s="2" t="s">
        <v>187</v>
      </c>
    </row>
    <row r="6" customFormat="false" ht="15" hidden="false" customHeight="false" outlineLevel="0" collapsed="false">
      <c r="A6" s="2" t="s">
        <v>197</v>
      </c>
      <c r="B6" s="2" t="s">
        <v>1050</v>
      </c>
      <c r="C6" s="2" t="s">
        <v>1051</v>
      </c>
      <c r="D6" s="2" t="s">
        <v>177</v>
      </c>
      <c r="E6" s="2" t="s">
        <v>187</v>
      </c>
    </row>
    <row r="7" customFormat="false" ht="15" hidden="false" customHeight="false" outlineLevel="0" collapsed="false">
      <c r="A7" s="2" t="s">
        <v>197</v>
      </c>
      <c r="B7" s="2" t="s">
        <v>1052</v>
      </c>
      <c r="C7" s="2" t="s">
        <v>1053</v>
      </c>
      <c r="D7" s="2" t="s">
        <v>177</v>
      </c>
      <c r="E7" s="2" t="s">
        <v>145</v>
      </c>
    </row>
    <row r="8" customFormat="false" ht="15" hidden="false" customHeight="false" outlineLevel="0" collapsed="false">
      <c r="A8" s="2" t="s">
        <v>197</v>
      </c>
      <c r="B8" s="2" t="s">
        <v>1054</v>
      </c>
      <c r="C8" s="2" t="s">
        <v>1055</v>
      </c>
      <c r="D8" s="2" t="s">
        <v>177</v>
      </c>
      <c r="E8" s="2" t="s">
        <v>145</v>
      </c>
    </row>
    <row r="9" customFormat="false" ht="15" hidden="false" customHeight="false" outlineLevel="0" collapsed="false">
      <c r="A9" s="2" t="s">
        <v>197</v>
      </c>
      <c r="B9" s="2" t="s">
        <v>1056</v>
      </c>
      <c r="C9" s="2" t="s">
        <v>1057</v>
      </c>
      <c r="D9" s="2" t="s">
        <v>177</v>
      </c>
      <c r="E9" s="2" t="s">
        <v>145</v>
      </c>
    </row>
    <row r="10" customFormat="false" ht="15" hidden="false" customHeight="false" outlineLevel="0" collapsed="false">
      <c r="A10" s="2" t="s">
        <v>197</v>
      </c>
      <c r="B10" s="2" t="s">
        <v>1058</v>
      </c>
      <c r="C10" s="2" t="s">
        <v>1059</v>
      </c>
      <c r="D10" s="2" t="s">
        <v>1060</v>
      </c>
      <c r="E10" s="2" t="s">
        <v>357</v>
      </c>
    </row>
    <row r="11" customFormat="false" ht="15" hidden="false" customHeight="false" outlineLevel="0" collapsed="false">
      <c r="A11" s="2" t="s">
        <v>197</v>
      </c>
      <c r="B11" s="2" t="s">
        <v>1061</v>
      </c>
      <c r="C11" s="2" t="s">
        <v>1062</v>
      </c>
      <c r="D11" s="2" t="s">
        <v>1060</v>
      </c>
      <c r="E11" s="2" t="s">
        <v>357</v>
      </c>
    </row>
    <row r="12" customFormat="false" ht="15" hidden="false" customHeight="false" outlineLevel="0" collapsed="false">
      <c r="A12" s="2" t="s">
        <v>197</v>
      </c>
      <c r="B12" s="2" t="s">
        <v>1063</v>
      </c>
      <c r="C12" s="2" t="s">
        <v>1064</v>
      </c>
      <c r="D12" s="2" t="s">
        <v>1060</v>
      </c>
      <c r="E12" s="2" t="s">
        <v>357</v>
      </c>
    </row>
    <row r="13" customFormat="false" ht="15" hidden="false" customHeight="false" outlineLevel="0" collapsed="false">
      <c r="A13" s="2" t="s">
        <v>197</v>
      </c>
      <c r="B13" s="2" t="s">
        <v>1065</v>
      </c>
      <c r="C13" s="2" t="s">
        <v>1066</v>
      </c>
      <c r="D13" s="2" t="s">
        <v>1060</v>
      </c>
      <c r="E13" s="2" t="s">
        <v>357</v>
      </c>
    </row>
    <row r="14" customFormat="false" ht="15" hidden="false" customHeight="false" outlineLevel="0" collapsed="false">
      <c r="A14" s="2" t="s">
        <v>197</v>
      </c>
      <c r="B14" s="2" t="s">
        <v>1067</v>
      </c>
      <c r="C14" s="2" t="s">
        <v>1068</v>
      </c>
      <c r="D14" s="2" t="s">
        <v>177</v>
      </c>
      <c r="E14" s="2" t="s">
        <v>357</v>
      </c>
    </row>
    <row r="15" customFormat="false" ht="15" hidden="false" customHeight="false" outlineLevel="0" collapsed="false">
      <c r="A15" s="2" t="s">
        <v>197</v>
      </c>
      <c r="B15" s="2" t="s">
        <v>1069</v>
      </c>
      <c r="C15" s="2" t="s">
        <v>1070</v>
      </c>
      <c r="D15" s="2" t="s">
        <v>177</v>
      </c>
      <c r="E15" s="2" t="s">
        <v>55</v>
      </c>
    </row>
    <row r="16" customFormat="false" ht="15" hidden="false" customHeight="false" outlineLevel="0" collapsed="false">
      <c r="A16" s="2" t="s">
        <v>197</v>
      </c>
      <c r="B16" s="2" t="s">
        <v>1071</v>
      </c>
      <c r="C16" s="2" t="s">
        <v>1072</v>
      </c>
      <c r="D16" s="2" t="s">
        <v>177</v>
      </c>
      <c r="E16" s="2" t="s">
        <v>212</v>
      </c>
    </row>
    <row r="17" customFormat="false" ht="15" hidden="false" customHeight="false" outlineLevel="0" collapsed="false">
      <c r="A17" s="2" t="s">
        <v>197</v>
      </c>
      <c r="B17" s="2" t="s">
        <v>1073</v>
      </c>
      <c r="C17" s="2" t="s">
        <v>1074</v>
      </c>
      <c r="D17" s="2" t="s">
        <v>177</v>
      </c>
      <c r="E17" s="2" t="s">
        <v>212</v>
      </c>
    </row>
    <row r="18" customFormat="false" ht="15" hidden="false" customHeight="false" outlineLevel="0" collapsed="false">
      <c r="A18" s="2" t="s">
        <v>197</v>
      </c>
      <c r="B18" s="2" t="s">
        <v>1075</v>
      </c>
      <c r="C18" s="2" t="s">
        <v>1076</v>
      </c>
      <c r="D18" s="2" t="s">
        <v>177</v>
      </c>
      <c r="E18" s="2" t="s">
        <v>212</v>
      </c>
    </row>
    <row r="19" customFormat="false" ht="15" hidden="false" customHeight="false" outlineLevel="0" collapsed="false">
      <c r="A19" s="2" t="s">
        <v>563</v>
      </c>
      <c r="B19" s="2" t="s">
        <v>1077</v>
      </c>
      <c r="C19" s="2" t="s">
        <v>1059</v>
      </c>
      <c r="D19" s="2" t="s">
        <v>1060</v>
      </c>
      <c r="E19" s="2" t="s">
        <v>357</v>
      </c>
    </row>
    <row r="20" customFormat="false" ht="15" hidden="false" customHeight="false" outlineLevel="0" collapsed="false">
      <c r="A20" s="2" t="s">
        <v>563</v>
      </c>
      <c r="B20" s="2" t="s">
        <v>1078</v>
      </c>
      <c r="C20" s="2" t="s">
        <v>1079</v>
      </c>
      <c r="D20" s="2" t="s">
        <v>1060</v>
      </c>
      <c r="E20" s="2" t="s">
        <v>357</v>
      </c>
    </row>
    <row r="21" customFormat="false" ht="15" hidden="false" customHeight="false" outlineLevel="0" collapsed="false">
      <c r="A21" s="2" t="s">
        <v>563</v>
      </c>
      <c r="B21" s="2" t="s">
        <v>1080</v>
      </c>
      <c r="C21" s="2" t="s">
        <v>1081</v>
      </c>
      <c r="D21" s="2" t="s">
        <v>1060</v>
      </c>
      <c r="E21" s="2" t="s">
        <v>357</v>
      </c>
    </row>
    <row r="22" customFormat="false" ht="15" hidden="false" customHeight="false" outlineLevel="0" collapsed="false">
      <c r="A22" s="2" t="s">
        <v>563</v>
      </c>
      <c r="B22" s="2" t="s">
        <v>1082</v>
      </c>
      <c r="C22" s="2" t="s">
        <v>1083</v>
      </c>
      <c r="D22" s="2" t="s">
        <v>1060</v>
      </c>
      <c r="E22" s="2" t="s">
        <v>1084</v>
      </c>
    </row>
    <row r="23" customFormat="false" ht="15" hidden="false" customHeight="false" outlineLevel="0" collapsed="false">
      <c r="A23" s="2" t="s">
        <v>1085</v>
      </c>
      <c r="B23" s="2" t="s">
        <v>1086</v>
      </c>
      <c r="C23" s="2" t="s">
        <v>1087</v>
      </c>
      <c r="D23" s="2" t="s">
        <v>652</v>
      </c>
      <c r="E23" s="2" t="s">
        <v>1088</v>
      </c>
    </row>
    <row r="24" customFormat="false" ht="15" hidden="false" customHeight="false" outlineLevel="0" collapsed="false">
      <c r="A24" s="2" t="s">
        <v>1085</v>
      </c>
      <c r="B24" s="2" t="s">
        <v>1089</v>
      </c>
      <c r="C24" s="2" t="s">
        <v>1090</v>
      </c>
      <c r="D24" s="2" t="s">
        <v>652</v>
      </c>
      <c r="E24" s="2" t="s">
        <v>1088</v>
      </c>
    </row>
    <row r="25" customFormat="false" ht="15" hidden="false" customHeight="false" outlineLevel="0" collapsed="false">
      <c r="A25" s="2" t="s">
        <v>1091</v>
      </c>
      <c r="B25" s="2" t="s">
        <v>1092</v>
      </c>
      <c r="C25" s="2" t="s">
        <v>1093</v>
      </c>
      <c r="D25" s="2" t="s">
        <v>652</v>
      </c>
      <c r="E25" s="2" t="s">
        <v>153</v>
      </c>
    </row>
    <row r="26" customFormat="false" ht="15" hidden="false" customHeight="false" outlineLevel="0" collapsed="false">
      <c r="A26" s="2" t="s">
        <v>1091</v>
      </c>
      <c r="B26" s="2" t="s">
        <v>1094</v>
      </c>
      <c r="C26" s="2" t="s">
        <v>1095</v>
      </c>
      <c r="D26" s="2" t="s">
        <v>652</v>
      </c>
      <c r="E26" s="2" t="s">
        <v>153</v>
      </c>
    </row>
    <row r="27" customFormat="false" ht="15" hidden="false" customHeight="false" outlineLevel="0" collapsed="false">
      <c r="A27" s="2" t="s">
        <v>1091</v>
      </c>
      <c r="B27" s="2" t="s">
        <v>1096</v>
      </c>
      <c r="C27" s="2" t="s">
        <v>1097</v>
      </c>
      <c r="D27" s="2" t="s">
        <v>652</v>
      </c>
      <c r="E27" s="2" t="s">
        <v>153</v>
      </c>
    </row>
    <row r="28" customFormat="false" ht="15" hidden="false" customHeight="false" outlineLevel="0" collapsed="false">
      <c r="A28" s="2" t="s">
        <v>1098</v>
      </c>
      <c r="B28" s="2" t="s">
        <v>1099</v>
      </c>
      <c r="C28" s="2" t="s">
        <v>1100</v>
      </c>
      <c r="D28" s="2" t="s">
        <v>652</v>
      </c>
      <c r="E28" s="2" t="s">
        <v>37</v>
      </c>
    </row>
    <row r="29" customFormat="false" ht="15" hidden="false" customHeight="false" outlineLevel="0" collapsed="false">
      <c r="A29" s="2" t="s">
        <v>1098</v>
      </c>
      <c r="B29" s="2" t="s">
        <v>1101</v>
      </c>
      <c r="C29" s="2" t="s">
        <v>1102</v>
      </c>
      <c r="D29" s="2" t="s">
        <v>652</v>
      </c>
      <c r="E29" s="2" t="s">
        <v>37</v>
      </c>
    </row>
    <row r="30" customFormat="false" ht="15" hidden="false" customHeight="false" outlineLevel="0" collapsed="false">
      <c r="A30" s="2" t="s">
        <v>1098</v>
      </c>
      <c r="B30" s="2" t="s">
        <v>1103</v>
      </c>
      <c r="C30" s="2" t="s">
        <v>1104</v>
      </c>
      <c r="D30" s="2" t="s">
        <v>30</v>
      </c>
      <c r="E30" s="2" t="s">
        <v>1105</v>
      </c>
    </row>
    <row r="31" customFormat="false" ht="15" hidden="false" customHeight="false" outlineLevel="0" collapsed="false">
      <c r="A31" s="2" t="s">
        <v>1098</v>
      </c>
      <c r="B31" s="2" t="s">
        <v>1106</v>
      </c>
      <c r="C31" s="2" t="s">
        <v>1107</v>
      </c>
      <c r="D31" s="2" t="s">
        <v>30</v>
      </c>
      <c r="E31" s="2" t="s">
        <v>1105</v>
      </c>
    </row>
    <row r="32" customFormat="false" ht="15" hidden="false" customHeight="false" outlineLevel="0" collapsed="false">
      <c r="A32" s="2" t="s">
        <v>1098</v>
      </c>
      <c r="B32" s="2" t="s">
        <v>1108</v>
      </c>
      <c r="C32" s="2" t="s">
        <v>1109</v>
      </c>
      <c r="D32" s="2" t="s">
        <v>30</v>
      </c>
      <c r="E32" s="2" t="s">
        <v>1105</v>
      </c>
    </row>
    <row r="33" customFormat="false" ht="15" hidden="false" customHeight="false" outlineLevel="0" collapsed="false">
      <c r="A33" s="2" t="s">
        <v>1098</v>
      </c>
      <c r="B33" s="2" t="s">
        <v>1110</v>
      </c>
      <c r="C33" s="2" t="s">
        <v>1111</v>
      </c>
      <c r="D33" s="2" t="s">
        <v>30</v>
      </c>
      <c r="E33" s="2" t="s">
        <v>1105</v>
      </c>
    </row>
    <row r="34" customFormat="false" ht="15" hidden="false" customHeight="false" outlineLevel="0" collapsed="false">
      <c r="A34" s="2" t="s">
        <v>1098</v>
      </c>
      <c r="B34" s="2" t="s">
        <v>1112</v>
      </c>
      <c r="C34" s="2" t="s">
        <v>1113</v>
      </c>
      <c r="D34" s="2" t="s">
        <v>30</v>
      </c>
      <c r="E34" s="2" t="s">
        <v>1114</v>
      </c>
    </row>
    <row r="35" customFormat="false" ht="15" hidden="false" customHeight="false" outlineLevel="0" collapsed="false">
      <c r="A35" s="2" t="s">
        <v>1098</v>
      </c>
      <c r="B35" s="2" t="s">
        <v>1115</v>
      </c>
      <c r="C35" s="2" t="s">
        <v>1116</v>
      </c>
      <c r="D35" s="2" t="s">
        <v>30</v>
      </c>
      <c r="E35" s="2" t="s">
        <v>1114</v>
      </c>
    </row>
    <row r="36" customFormat="false" ht="15" hidden="false" customHeight="false" outlineLevel="0" collapsed="false">
      <c r="A36" s="2" t="s">
        <v>1098</v>
      </c>
      <c r="B36" s="2" t="s">
        <v>1117</v>
      </c>
      <c r="C36" s="2" t="s">
        <v>1118</v>
      </c>
      <c r="D36" s="2" t="s">
        <v>30</v>
      </c>
      <c r="E36" s="2" t="s">
        <v>1114</v>
      </c>
    </row>
    <row r="37" customFormat="false" ht="15" hidden="false" customHeight="false" outlineLevel="0" collapsed="false">
      <c r="A37" s="2" t="s">
        <v>197</v>
      </c>
      <c r="B37" s="2" t="s">
        <v>1119</v>
      </c>
      <c r="C37" s="2" t="s">
        <v>1120</v>
      </c>
      <c r="D37" s="2" t="s">
        <v>177</v>
      </c>
      <c r="E37" s="2" t="s">
        <v>1105</v>
      </c>
    </row>
    <row r="38" customFormat="false" ht="15" hidden="false" customHeight="false" outlineLevel="0" collapsed="false">
      <c r="A38" s="2" t="s">
        <v>197</v>
      </c>
      <c r="B38" s="2" t="s">
        <v>1121</v>
      </c>
      <c r="C38" s="2" t="s">
        <v>1122</v>
      </c>
      <c r="D38" s="2" t="s">
        <v>177</v>
      </c>
      <c r="E38" s="2" t="s">
        <v>1105</v>
      </c>
    </row>
    <row r="39" customFormat="false" ht="15" hidden="false" customHeight="false" outlineLevel="0" collapsed="false">
      <c r="A39" s="2" t="s">
        <v>197</v>
      </c>
      <c r="B39" s="2" t="s">
        <v>1123</v>
      </c>
      <c r="C39" s="2" t="s">
        <v>1124</v>
      </c>
      <c r="D39" s="2" t="s">
        <v>177</v>
      </c>
      <c r="E39" s="2" t="s">
        <v>1105</v>
      </c>
    </row>
    <row r="40" customFormat="false" ht="15" hidden="false" customHeight="false" outlineLevel="0" collapsed="false">
      <c r="A40" s="2" t="s">
        <v>1125</v>
      </c>
      <c r="B40" s="2" t="s">
        <v>1126</v>
      </c>
      <c r="C40" s="2" t="s">
        <v>1127</v>
      </c>
      <c r="D40" s="2" t="s">
        <v>610</v>
      </c>
      <c r="E40" s="2" t="s">
        <v>134</v>
      </c>
    </row>
    <row r="41" customFormat="false" ht="22.35" hidden="false" customHeight="false" outlineLevel="0" collapsed="false">
      <c r="A41" s="2" t="s">
        <v>1125</v>
      </c>
      <c r="B41" s="2" t="s">
        <v>1128</v>
      </c>
      <c r="C41" s="2" t="s">
        <v>1129</v>
      </c>
      <c r="D41" s="2" t="s">
        <v>610</v>
      </c>
      <c r="E41" s="2" t="s">
        <v>134</v>
      </c>
    </row>
    <row r="42" customFormat="false" ht="22.35" hidden="false" customHeight="false" outlineLevel="0" collapsed="false">
      <c r="A42" s="2" t="s">
        <v>1125</v>
      </c>
      <c r="B42" s="2" t="s">
        <v>1130</v>
      </c>
      <c r="C42" s="2" t="s">
        <v>1131</v>
      </c>
      <c r="D42" s="2" t="s">
        <v>610</v>
      </c>
      <c r="E42" s="2" t="s">
        <v>599</v>
      </c>
    </row>
    <row r="43" customFormat="false" ht="15" hidden="false" customHeight="false" outlineLevel="0" collapsed="false">
      <c r="A43" s="2" t="s">
        <v>1132</v>
      </c>
      <c r="B43" s="2" t="s">
        <v>1133</v>
      </c>
      <c r="C43" s="2" t="s">
        <v>1134</v>
      </c>
      <c r="D43" s="2" t="s">
        <v>1135</v>
      </c>
      <c r="E43" s="2" t="s">
        <v>599</v>
      </c>
    </row>
    <row r="44" customFormat="false" ht="15" hidden="false" customHeight="false" outlineLevel="0" collapsed="false">
      <c r="A44" s="2" t="s">
        <v>1136</v>
      </c>
      <c r="B44" s="2" t="s">
        <v>1137</v>
      </c>
      <c r="C44" s="2" t="s">
        <v>1138</v>
      </c>
      <c r="D44" s="2" t="s">
        <v>177</v>
      </c>
      <c r="E44" s="2" t="s">
        <v>366</v>
      </c>
    </row>
    <row r="45" customFormat="false" ht="22.35" hidden="false" customHeight="false" outlineLevel="0" collapsed="false">
      <c r="A45" s="2" t="s">
        <v>1139</v>
      </c>
      <c r="B45" s="2" t="s">
        <v>1140</v>
      </c>
      <c r="C45" s="2" t="s">
        <v>1141</v>
      </c>
      <c r="D45" s="2" t="s">
        <v>1060</v>
      </c>
      <c r="E45" s="2" t="s">
        <v>1142</v>
      </c>
    </row>
    <row r="46" customFormat="false" ht="22.35" hidden="false" customHeight="false" outlineLevel="0" collapsed="false">
      <c r="A46" s="2" t="s">
        <v>1143</v>
      </c>
      <c r="B46" s="2" t="s">
        <v>1144</v>
      </c>
      <c r="C46" s="2" t="s">
        <v>1145</v>
      </c>
      <c r="D46" s="2" t="s">
        <v>652</v>
      </c>
      <c r="E46" s="2" t="s">
        <v>1142</v>
      </c>
    </row>
    <row r="47" customFormat="false" ht="15" hidden="false" customHeight="false" outlineLevel="0" collapsed="false">
      <c r="A47" s="2" t="s">
        <v>1146</v>
      </c>
      <c r="B47" s="2" t="s">
        <v>1147</v>
      </c>
      <c r="C47" s="2" t="s">
        <v>1148</v>
      </c>
      <c r="D47" s="2" t="s">
        <v>652</v>
      </c>
      <c r="E47" s="2" t="s">
        <v>1142</v>
      </c>
    </row>
    <row r="48" customFormat="false" ht="22.35" hidden="false" customHeight="false" outlineLevel="0" collapsed="false">
      <c r="A48" s="2" t="s">
        <v>1149</v>
      </c>
      <c r="B48" s="2" t="s">
        <v>1150</v>
      </c>
      <c r="C48" s="2" t="s">
        <v>1151</v>
      </c>
      <c r="D48" s="2" t="s">
        <v>652</v>
      </c>
      <c r="E48" s="2" t="s">
        <v>1142</v>
      </c>
    </row>
    <row r="49" customFormat="false" ht="22.35" hidden="false" customHeight="false" outlineLevel="0" collapsed="false">
      <c r="A49" s="2" t="s">
        <v>1152</v>
      </c>
      <c r="B49" s="2" t="s">
        <v>1153</v>
      </c>
      <c r="C49" s="2" t="s">
        <v>1154</v>
      </c>
      <c r="D49" s="2" t="s">
        <v>652</v>
      </c>
      <c r="E49" s="2" t="s">
        <v>171</v>
      </c>
    </row>
    <row r="50" customFormat="false" ht="15" hidden="false" customHeight="false" outlineLevel="0" collapsed="false">
      <c r="A50" s="2" t="s">
        <v>1155</v>
      </c>
      <c r="B50" s="2" t="s">
        <v>1156</v>
      </c>
      <c r="C50" s="2" t="s">
        <v>1157</v>
      </c>
      <c r="D50" s="2" t="s">
        <v>652</v>
      </c>
      <c r="E50" s="2" t="s">
        <v>171</v>
      </c>
    </row>
    <row r="51" customFormat="false" ht="15" hidden="false" customHeight="false" outlineLevel="0" collapsed="false">
      <c r="A51" s="2" t="s">
        <v>1158</v>
      </c>
      <c r="B51" s="2" t="s">
        <v>1159</v>
      </c>
      <c r="C51" s="2" t="s">
        <v>1160</v>
      </c>
      <c r="D51" s="2" t="s">
        <v>652</v>
      </c>
      <c r="E51" s="2" t="s">
        <v>171</v>
      </c>
    </row>
    <row r="52" customFormat="false" ht="22.35" hidden="false" customHeight="false" outlineLevel="0" collapsed="false">
      <c r="A52" s="2" t="s">
        <v>1158</v>
      </c>
      <c r="B52" s="2" t="s">
        <v>1161</v>
      </c>
      <c r="C52" s="2" t="s">
        <v>1162</v>
      </c>
      <c r="D52" s="2" t="s">
        <v>652</v>
      </c>
      <c r="E52" s="2" t="s">
        <v>171</v>
      </c>
    </row>
    <row r="53" customFormat="false" ht="15" hidden="false" customHeight="false" outlineLevel="0" collapsed="false">
      <c r="A53" s="2" t="s">
        <v>1158</v>
      </c>
      <c r="B53" s="2" t="s">
        <v>1163</v>
      </c>
      <c r="C53" s="2" t="s">
        <v>1164</v>
      </c>
      <c r="D53" s="2" t="s">
        <v>652</v>
      </c>
      <c r="E53" s="2" t="s">
        <v>171</v>
      </c>
    </row>
    <row r="54" customFormat="false" ht="15" hidden="false" customHeight="false" outlineLevel="0" collapsed="false">
      <c r="A54" s="2" t="s">
        <v>293</v>
      </c>
      <c r="B54" s="2" t="s">
        <v>1165</v>
      </c>
      <c r="C54" s="2" t="s">
        <v>1166</v>
      </c>
      <c r="D54" s="2" t="s">
        <v>177</v>
      </c>
      <c r="E54" s="2" t="s">
        <v>285</v>
      </c>
    </row>
    <row r="55" customFormat="false" ht="15" hidden="false" customHeight="false" outlineLevel="0" collapsed="false">
      <c r="A55" s="2" t="s">
        <v>1167</v>
      </c>
      <c r="B55" s="2" t="s">
        <v>1168</v>
      </c>
      <c r="C55" s="2" t="s">
        <v>1169</v>
      </c>
      <c r="D55" s="2" t="s">
        <v>30</v>
      </c>
      <c r="E55" s="2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28" t="s">
        <v>1170</v>
      </c>
    </row>
    <row r="2" customFormat="false" ht="15" hidden="false" customHeight="false" outlineLevel="0" collapsed="false">
      <c r="A2" s="29" t="s">
        <v>1171</v>
      </c>
    </row>
    <row r="3" customFormat="false" ht="23.85" hidden="false" customHeight="false" outlineLevel="0" collapsed="false">
      <c r="A3" s="29" t="s">
        <v>1172</v>
      </c>
    </row>
    <row r="4" customFormat="false" ht="23.85" hidden="false" customHeight="false" outlineLevel="0" collapsed="false">
      <c r="A4" s="29" t="s">
        <v>1173</v>
      </c>
    </row>
    <row r="5" customFormat="false" ht="23.85" hidden="false" customHeight="false" outlineLevel="0" collapsed="false">
      <c r="A5" s="29" t="s">
        <v>1174</v>
      </c>
    </row>
    <row r="6" customFormat="false" ht="23.85" hidden="false" customHeight="false" outlineLevel="0" collapsed="false">
      <c r="A6" s="29" t="s">
        <v>1175</v>
      </c>
    </row>
    <row r="7" customFormat="false" ht="23.85" hidden="false" customHeight="false" outlineLevel="0" collapsed="false">
      <c r="A7" s="29" t="s">
        <v>1176</v>
      </c>
    </row>
    <row r="8" customFormat="false" ht="15" hidden="false" customHeight="false" outlineLevel="0" collapsed="false">
      <c r="A8" s="29" t="s">
        <v>1177</v>
      </c>
    </row>
    <row r="9" customFormat="false" ht="15" hidden="false" customHeight="false" outlineLevel="0" collapsed="false">
      <c r="A9" s="29" t="s">
        <v>1178</v>
      </c>
    </row>
    <row r="10" customFormat="false" ht="23.85" hidden="false" customHeight="false" outlineLevel="0" collapsed="false">
      <c r="A10" s="29" t="s">
        <v>1179</v>
      </c>
    </row>
    <row r="11" customFormat="false" ht="15" hidden="false" customHeight="false" outlineLevel="0" collapsed="false">
      <c r="A11" s="29" t="s">
        <v>1180</v>
      </c>
    </row>
    <row r="12" customFormat="false" ht="15" hidden="false" customHeight="false" outlineLevel="0" collapsed="false">
      <c r="A12" s="29" t="s">
        <v>1181</v>
      </c>
    </row>
    <row r="13" customFormat="false" ht="15" hidden="false" customHeight="false" outlineLevel="0" collapsed="false">
      <c r="A13" s="29" t="s">
        <v>1182</v>
      </c>
    </row>
    <row r="14" customFormat="false" ht="23.85" hidden="false" customHeight="false" outlineLevel="0" collapsed="false">
      <c r="A14" s="29" t="s">
        <v>1183</v>
      </c>
    </row>
    <row r="15" customFormat="false" ht="23.85" hidden="false" customHeight="false" outlineLevel="0" collapsed="false">
      <c r="A15" s="29" t="s">
        <v>1184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2026-10-04T03:01:52Z</dcterms:created>
  <dc:creator>openpyxl</dc:creator>
  <dc:description/>
  <dc:language>en-US</dc:language>
  <cp:lastModifiedBy/>
  <dcterms:modified xsi:type="dcterms:W3CDTF">2026-10-04T03:01:53Z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